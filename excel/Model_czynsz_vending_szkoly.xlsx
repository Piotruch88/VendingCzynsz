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odowanie-projekty\Swichbot reverse engineering\"/>
    </mc:Choice>
  </mc:AlternateContent>
  <xr:revisionPtr revIDLastSave="0" documentId="13_ncr:1_{2AFA3E41-A804-4508-925D-D7E674B2C097}" xr6:coauthVersionLast="47" xr6:coauthVersionMax="47" xr10:uidLastSave="{00000000-0000-0000-0000-000000000000}"/>
  <bookViews>
    <workbookView xWindow="750" yWindow="-120" windowWidth="28170" windowHeight="18240" xr2:uid="{00000000-000D-0000-FFFF-FFFF00000000}"/>
  </bookViews>
  <sheets>
    <sheet name="Kalkulator" sheetId="1" r:id="rId1"/>
    <sheet name="Założenia" sheetId="2" r:id="rId2"/>
    <sheet name="Tabela" sheetId="3" r:id="rId3"/>
    <sheet name="Źródła" sheetId="4" r:id="rId4"/>
  </sheets>
  <calcPr calcId="181029"/>
</workbook>
</file>

<file path=xl/calcChain.xml><?xml version="1.0" encoding="utf-8"?>
<calcChain xmlns="http://schemas.openxmlformats.org/spreadsheetml/2006/main">
  <c r="C2" i="3" l="1"/>
  <c r="F2" i="3" s="1"/>
  <c r="D32" i="1"/>
  <c r="C32" i="1"/>
  <c r="D30" i="1"/>
  <c r="C30" i="1"/>
  <c r="D26" i="1"/>
  <c r="C26" i="1"/>
  <c r="D23" i="1"/>
  <c r="C23" i="1"/>
  <c r="C22" i="1"/>
  <c r="D22" i="1" s="1"/>
  <c r="C21" i="1"/>
  <c r="C16" i="1"/>
  <c r="C24" i="1" l="1"/>
  <c r="C25" i="1" s="1"/>
  <c r="C27" i="1" s="1"/>
  <c r="C28" i="1" s="1"/>
  <c r="C29" i="1" s="1"/>
  <c r="C31" i="1" s="1"/>
  <c r="C33" i="1" s="1"/>
  <c r="C10" i="1" s="1"/>
  <c r="C14" i="1" s="1"/>
  <c r="C15" i="1" s="1"/>
  <c r="B18" i="3"/>
  <c r="C18" i="3" s="1"/>
  <c r="B14" i="3"/>
  <c r="C14" i="3" s="1"/>
  <c r="B10" i="3"/>
  <c r="C10" i="3" s="1"/>
  <c r="B6" i="3"/>
  <c r="C6" i="3" s="1"/>
  <c r="B21" i="3"/>
  <c r="D21" i="3" s="1"/>
  <c r="G21" i="3" s="1"/>
  <c r="B17" i="3"/>
  <c r="C17" i="3" s="1"/>
  <c r="B13" i="3"/>
  <c r="C13" i="3" s="1"/>
  <c r="B9" i="3"/>
  <c r="D9" i="3" s="1"/>
  <c r="G9" i="3" s="1"/>
  <c r="B20" i="3"/>
  <c r="C20" i="3" s="1"/>
  <c r="B16" i="3"/>
  <c r="C16" i="3" s="1"/>
  <c r="B12" i="3"/>
  <c r="D12" i="3" s="1"/>
  <c r="G12" i="3" s="1"/>
  <c r="B8" i="3"/>
  <c r="D8" i="3" s="1"/>
  <c r="G8" i="3" s="1"/>
  <c r="B19" i="3"/>
  <c r="C19" i="3" s="1"/>
  <c r="B15" i="3"/>
  <c r="C15" i="3" s="1"/>
  <c r="B11" i="3"/>
  <c r="D11" i="3" s="1"/>
  <c r="G11" i="3" s="1"/>
  <c r="B7" i="3"/>
  <c r="D7" i="3" s="1"/>
  <c r="G7" i="3" s="1"/>
  <c r="D21" i="1"/>
  <c r="D24" i="1" s="1"/>
  <c r="C12" i="1" l="1"/>
  <c r="C13" i="1" s="1"/>
  <c r="C18" i="1"/>
  <c r="F19" i="3"/>
  <c r="F20" i="3"/>
  <c r="F17" i="3"/>
  <c r="F10" i="3"/>
  <c r="F14" i="3"/>
  <c r="E14" i="3"/>
  <c r="F16" i="3"/>
  <c r="E16" i="3"/>
  <c r="F6" i="3"/>
  <c r="F15" i="3"/>
  <c r="F13" i="3"/>
  <c r="E13" i="3"/>
  <c r="A28" i="4" s="1"/>
  <c r="F18" i="3"/>
  <c r="D15" i="3"/>
  <c r="G15" i="3" s="1"/>
  <c r="D19" i="3"/>
  <c r="G19" i="3" s="1"/>
  <c r="D6" i="3"/>
  <c r="G6" i="3" s="1"/>
  <c r="D10" i="3"/>
  <c r="G10" i="3" s="1"/>
  <c r="D20" i="3"/>
  <c r="G20" i="3" s="1"/>
  <c r="D18" i="3"/>
  <c r="G18" i="3" s="1"/>
  <c r="C12" i="3"/>
  <c r="D16" i="3"/>
  <c r="G16" i="3" s="1"/>
  <c r="D14" i="3"/>
  <c r="G14" i="3" s="1"/>
  <c r="C21" i="3"/>
  <c r="D13" i="3"/>
  <c r="G13" i="3" s="1"/>
  <c r="D17" i="3"/>
  <c r="G17" i="3" s="1"/>
  <c r="C7" i="3"/>
  <c r="C11" i="3"/>
  <c r="C8" i="3"/>
  <c r="C9" i="3"/>
  <c r="C17" i="1"/>
  <c r="E17" i="1" s="1"/>
  <c r="D25" i="1"/>
  <c r="D27" i="1" s="1"/>
  <c r="D28" i="1" s="1"/>
  <c r="D29" i="1" s="1"/>
  <c r="D31" i="1" s="1"/>
  <c r="D33" i="1" s="1"/>
  <c r="D10" i="1" s="1"/>
  <c r="E18" i="3" l="1"/>
  <c r="E10" i="3"/>
  <c r="E15" i="3"/>
  <c r="F11" i="3"/>
  <c r="E11" i="3"/>
  <c r="D18" i="1"/>
  <c r="E18" i="1" s="1"/>
  <c r="D14" i="1"/>
  <c r="D15" i="1" s="1"/>
  <c r="D12" i="1"/>
  <c r="D13" i="1" s="1"/>
  <c r="C11" i="1"/>
  <c r="F8" i="3"/>
  <c r="E8" i="3"/>
  <c r="F9" i="3"/>
  <c r="E9" i="3"/>
  <c r="F12" i="3"/>
  <c r="E12" i="3"/>
  <c r="F21" i="3"/>
  <c r="E21" i="3"/>
  <c r="E17" i="3"/>
  <c r="E20" i="3"/>
  <c r="F7" i="3"/>
  <c r="E7" i="3"/>
  <c r="E19" i="3"/>
  <c r="E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1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Wynik główny modelu. Stawki netto (do czynszu dolicza się 23% VAT).</t>
        </r>
      </text>
    </comment>
  </commentList>
</comments>
</file>

<file path=xl/sharedStrings.xml><?xml version="1.0" encoding="utf-8"?>
<sst xmlns="http://schemas.openxmlformats.org/spreadsheetml/2006/main" count="321" uniqueCount="298">
  <si>
    <t>Kalkulator czynszu za automaty vendingowe w szkole</t>
  </si>
  <si>
    <t>Wpisz liczbę uczniów (żółte pole) – model wylicza minimalną i maksymalną stawkę czynszu netto.</t>
  </si>
  <si>
    <t>DANE WEJŚCIOWE</t>
  </si>
  <si>
    <t>Wartość</t>
  </si>
  <si>
    <t>Wskazówka</t>
  </si>
  <si>
    <t>Liczba uczniów w szkole</t>
  </si>
  <si>
    <t>Wpisz liczbę uczniów (np. z SIO lub strony szkoły).</t>
  </si>
  <si>
    <t>Typ szkoły</t>
  </si>
  <si>
    <t>Liceum ogólnokształcące</t>
  </si>
  <si>
    <t>Wybierz z listy – wpływa na popyt (domyślnie liceum).</t>
  </si>
  <si>
    <t>Liczba automatów w szkole</t>
  </si>
  <si>
    <t>Ile automatów ma stanąć. Czynsz łączny dzielony jest na automaty.</t>
  </si>
  <si>
    <t>WYNIK (kwoty netto)</t>
  </si>
  <si>
    <t>MINIMALNA</t>
  </si>
  <si>
    <t>MAKSYMALNA</t>
  </si>
  <si>
    <t>Komentarz</t>
  </si>
  <si>
    <t>Czynsz miesięczny łącznie</t>
  </si>
  <si>
    <t>Stawka za wszystkie automaty w szkole, zł netto / miesiąc nauki.</t>
  </si>
  <si>
    <t>Stawka wyjściowa do negocjacji / przetargu</t>
  </si>
  <si>
    <t>Środek przedziału – rozsądna cena wywoławcza.</t>
  </si>
  <si>
    <t>Czynsz na 1 automat</t>
  </si>
  <si>
    <t>Czynsz za 1 m² powierzchni</t>
  </si>
  <si>
    <t>Przydatne, gdy organ prowadzący określa stawki za m².</t>
  </si>
  <si>
    <t>Czynsz za rok szkolny</t>
  </si>
  <si>
    <t>Przy płatności za miesiące nauki (wrzesień–czerwiec).</t>
  </si>
  <si>
    <t>Odpowiednik przy płatności przez 12 miesięcy</t>
  </si>
  <si>
    <t>Gdy umowa przewiduje równą ratę także w wakacje.</t>
  </si>
  <si>
    <t>Ryczałt za energię (doliczany osobno)</t>
  </si>
  <si>
    <t>Wszystkie automaty, zł netto / mies. – jeśli prąd rozliczany poza czynszem.</t>
  </si>
  <si>
    <t>Sugerowana liczba automatów</t>
  </si>
  <si>
    <t>Udział czynszu w marży brutto operatora</t>
  </si>
  <si>
    <t>SZCZEGÓŁY OBLICZEŃ</t>
  </si>
  <si>
    <t>Scenariusz MIN</t>
  </si>
  <si>
    <t>Scenariusz MAX</t>
  </si>
  <si>
    <t>Opis</t>
  </si>
  <si>
    <t>Osoby korzystające (uczniowie + personel)</t>
  </si>
  <si>
    <t>Uczniowie powiększeni o personel szkoły.</t>
  </si>
  <si>
    <t>Współczynnik typu szkoły</t>
  </si>
  <si>
    <t>Z tabeli w arkuszu Założenia.</t>
  </si>
  <si>
    <t>Udział kupujących dziennie</t>
  </si>
  <si>
    <t>Założenie min / max.</t>
  </si>
  <si>
    <t>Transakcje dziennie – popyt</t>
  </si>
  <si>
    <t>Ile zakupów dziennie wygeneruje szkoła.</t>
  </si>
  <si>
    <t>Transakcje dziennie – po limicie wydajności</t>
  </si>
  <si>
    <t>Popyt ograniczony liczbą automatów.</t>
  </si>
  <si>
    <t>Średnia wartość transakcji brutto</t>
  </si>
  <si>
    <t>Obrót dzienny brutto</t>
  </si>
  <si>
    <t>Obrót miesięczny brutto</t>
  </si>
  <si>
    <t>× dni nauki w miesiącu.</t>
  </si>
  <si>
    <t>Obrót miesięczny netto</t>
  </si>
  <si>
    <t>Bez VAT.</t>
  </si>
  <si>
    <t>Czynsz jako % obrotu netto</t>
  </si>
  <si>
    <t>Czynsz wyliczony z obrotu</t>
  </si>
  <si>
    <t>Próg minimalny (× liczba automatów)</t>
  </si>
  <si>
    <t>Czynsz nie spada poniżej progu.</t>
  </si>
  <si>
    <t>Czynsz miesięczny łącznie (zaokrąglony)</t>
  </si>
  <si>
    <t>Większa z wartości: z obrotu lub próg.</t>
  </si>
  <si>
    <t>Legenda i uwagi</t>
  </si>
  <si>
    <t>Żółte pole, niebieska czcionka</t>
  </si>
  <si>
    <t>dane do wpisania / założenia, które możesz zmieniać</t>
  </si>
  <si>
    <t>Zielona czcionka</t>
  </si>
  <si>
    <t>wartość pobrana z arkusza Założenia</t>
  </si>
  <si>
    <t>Czarna czcionka</t>
  </si>
  <si>
    <t>formuły – nie edytuj</t>
  </si>
  <si>
    <t>Kwoty</t>
  </si>
  <si>
    <t>netto; do czynszu dolicza się 23% VAT, prąd zwykle jako osobny ryczałt</t>
  </si>
  <si>
    <t>Metoda</t>
  </si>
  <si>
    <t>czynsz = obrót netto automatu × % dla szkoły; obrót = osoby × % kupujących × wartość zakupu × dni nauki</t>
  </si>
  <si>
    <t>Kalibracja</t>
  </si>
  <si>
    <t>jeśli masz dane z własnych automatów, popraw w Założeniach % kupujących i wartość transakcji</t>
  </si>
  <si>
    <t>Prawo</t>
  </si>
  <si>
    <t>sprawdź zarządzenie organu prowadzącego (gmina/powiat) – może narzucać minimalne stawki za m²</t>
  </si>
  <si>
    <t>Założenia modelu – czynsz za automaty vendingowe w szkołach</t>
  </si>
  <si>
    <t>Niebieskie wartości to założenia – możesz je zmieniać. Numery [Ź..] odsyłają do arkusza Źródła. Część wartości to szacunki (brak oficjalnych statystyk) – najlepiej skalibruj je na danych z własnych automatów.</t>
  </si>
  <si>
    <t>Parametr</t>
  </si>
  <si>
    <t>Min
(scenariusz ostrożny)</t>
  </si>
  <si>
    <t>Max
(scenariusz optymistyczny)</t>
  </si>
  <si>
    <t>Jednostka</t>
  </si>
  <si>
    <t>Uzasadnienie / źródło</t>
  </si>
  <si>
    <t>Udział kupujących dziennie (% osób w szkole)</t>
  </si>
  <si>
    <t>%</t>
  </si>
  <si>
    <t>SZACUNEK WŁASNY skalibrowany tak, by obrót automatu w szkole ~500 uczniów wynosił ok. 2–4 tys. zł/mies., zgodnie z danymi branżowymi o obrotach automatów [Ź5, Ź6]. Asortyment ograniczony rozporządzeniem MZ (Dz.U. 2026 poz. 197, od 1.09.2026) – brak słodyczy i napojów słodzonych [Ź1, Ź2].</t>
  </si>
  <si>
    <t>zł</t>
  </si>
  <si>
    <t>Branżowo średni koszyk 5–8 zł [Ź4]; w szkole przyjęto dolną część przedziału (woda, sok, kanapka).</t>
  </si>
  <si>
    <t>Czynsz jako % obrotu netto automatu</t>
  </si>
  <si>
    <t>Standardowe lokalizacje: 10–20% obrotu [Ź7]; galerie/dworce: 10–15% [Ź8]. Dla szkoły przyjęto 10–15% (sprzedaż tylko 10 mies., ograniczony asortyment).</t>
  </si>
  <si>
    <t>Parametr wspólny</t>
  </si>
  <si>
    <t>Personel szkoły jako % liczby uczniów</t>
  </si>
  <si>
    <t>GUS 2024/25: 511 tys. nauczycieli na ok. 5,3 mln uczących się (≈ 9,6%) [Ź9]; obsługa szkoły dodatkowo.</t>
  </si>
  <si>
    <t>Dni nauki w miesiącu</t>
  </si>
  <si>
    <t>dni</t>
  </si>
  <si>
    <t>Rok 2025/26: 1.09.2025–26.06.2026 = 215 dni roboczych, minus święta, przerwy świąteczne, ferie (10) i dni dyrektorskie (6–10) ≈ 178–182 dni nauki / 10 mies. ≈ 18 [Ź10, wyliczenie własne].</t>
  </si>
  <si>
    <t>Miesiące nauki w roku szkolnym</t>
  </si>
  <si>
    <t>mies.</t>
  </si>
  <si>
    <t>Wrzesień–czerwiec [Ź10]. W wakacje sprzedaż praktycznie zerowa.</t>
  </si>
  <si>
    <t>Średnia stawka VAT na asortyment</t>
  </si>
  <si>
    <t>Woda butelkowana 23%, napoje z ≥20% soku, napoje mleczne i żywność 5% [Ź3]. Mix ok. 40% wody / 60% reszty ≈ 12%. Czynsz liczony od obrotu netto.</t>
  </si>
  <si>
    <t>Minimalny czynsz za 1 automat (próg)</t>
  </si>
  <si>
    <t>zł/mies.</t>
  </si>
  <si>
    <t>Najniższe ceny wywoławcze w przetargach szkolnych: 140 zł/automat (Szczecin 2019) [Ź11]. Sprawdź zarządzenie organu prowadzącego (gmina/powiat) – może określać minimalne stawki.</t>
  </si>
  <si>
    <t>Maks. liczba transakcji dziennie na 1 automat</t>
  </si>
  <si>
    <t>szt./dzień</t>
  </si>
  <si>
    <t>SZACUNEK WŁASNY (pojemność + kolejki na przerwach). Powyżej – sugerowany kolejny automat.</t>
  </si>
  <si>
    <t>Powierzchnia zajmowana przez 1 automat</t>
  </si>
  <si>
    <t>m²</t>
  </si>
  <si>
    <t>W przetargach: 1 m² na automat (Szczecin, Białystok) lub 1,5 m² (Opole, Kraków) [Ź12–Ź16, Ź19].</t>
  </si>
  <si>
    <t>Zużycie energii przez 1 automat</t>
  </si>
  <si>
    <t>kWh/mies.</t>
  </si>
  <si>
    <t>Automat z napojami chłodzonymi: 7–14 kWh/dobę wg BSI [Ź17]; nowoczesne automaty mniej. Przyjęto ok. 6–7 kWh/dobę. Najlepiej: karta katalogowa konkretnego modelu.</t>
  </si>
  <si>
    <t>Cena energii elektrycznej netto</t>
  </si>
  <si>
    <t>zł/kWh</t>
  </si>
  <si>
    <t>Taryfy 2026: energia ok. 0,50 zł/kWh + dystrybucja 0,25–0,35 + opłaty ≈ 0,8–0,9 zł/kWh netto, z opłatami stałymi ok. 1 zł [Ź18]. Podmień na stawkę z faktury szkoły.</t>
  </si>
  <si>
    <t>Marża brutto operatora (% obrotu netto)</t>
  </si>
  <si>
    <t>Koszt towaru 50–70% przychodu [Ź7]; marża na napojach 40–60%, przekąskach 30–50% [Ź6]. Przyjęto 40%.</t>
  </si>
  <si>
    <t>Próg ostrzeżenia: czynsz / marża operatora</t>
  </si>
  <si>
    <t>SZACUNEK WŁASNY: jeśli czynsz pochłania &gt;40% marży, operatorzy mogą nie składać ofert.</t>
  </si>
  <si>
    <t>Zaokrąglenie stawek do</t>
  </si>
  <si>
    <t>Stawki wynikowe zaokrąglane do pełnych 10 zł.</t>
  </si>
  <si>
    <t>Współczynnik popytu</t>
  </si>
  <si>
    <t>Uzasadnienie (SZACUNKI WŁASNE – brak danych źródłowych)</t>
  </si>
  <si>
    <t>Szkoła podstawowa</t>
  </si>
  <si>
    <t>Młodsze dzieci, mniej kieszonkowego, część rodziców zabrania zakupów.</t>
  </si>
  <si>
    <t>Poziom bazowy modelu.</t>
  </si>
  <si>
    <t>Technikum</t>
  </si>
  <si>
    <t>Dłuższe dni zajęć (więcej godzin w szkole).</t>
  </si>
  <si>
    <t>Szkoła branżowa</t>
  </si>
  <si>
    <t>Część zajęć praktycznych poza szkołą.</t>
  </si>
  <si>
    <t>Zespół szkół</t>
  </si>
  <si>
    <t>Mieszany profil uczniów.</t>
  </si>
  <si>
    <t>Szkoła policealna / dla dorosłych</t>
  </si>
  <si>
    <t>Dorośli słuchacze, wyższa siła nabywcza.</t>
  </si>
  <si>
    <t>Tabela stawek czynszu wg liczby uczniów</t>
  </si>
  <si>
    <t>Typ szkoły (z Kalkulatora):</t>
  </si>
  <si>
    <t>Współczynnik:</t>
  </si>
  <si>
    <t>Liczba automatów = sugerowana dla danej wielkości szkoły. Kwoty netto, zł / miesiąc nauki.</t>
  </si>
  <si>
    <t>Liczba uczniów</t>
  </si>
  <si>
    <t>Czynsz MIN
(łącznie)</t>
  </si>
  <si>
    <t>Czynsz MAX
(łącznie)</t>
  </si>
  <si>
    <t>Stawka wyjściowa</t>
  </si>
  <si>
    <t>MIN na 1 automat</t>
  </si>
  <si>
    <t>MAX na 1 automat</t>
  </si>
  <si>
    <t>Liczby uczniów w kolumnie A możesz zmienić (niebieskie) – stawki przeliczą się same.</t>
  </si>
  <si>
    <t>Źródła danych i założeń modelu</t>
  </si>
  <si>
    <t>Stan na 29.10.2026. Numery [Ź..] są przywoływane w arkuszu Założenia. Strony firm vendingowych to materiały branżowe (mogą być optymistyczne) – traktuj je jako orientację, nie dane oficjalne.</t>
  </si>
  <si>
    <t>Nr</t>
  </si>
  <si>
    <t>Temat</t>
  </si>
  <si>
    <t>Co mówi źródło (kluczowe liczby)</t>
  </si>
  <si>
    <t>Źródło</t>
  </si>
  <si>
    <t>Data</t>
  </si>
  <si>
    <t>Link</t>
  </si>
  <si>
    <t>Jak użyto w modelu / uwagi</t>
  </si>
  <si>
    <t>Ź1</t>
  </si>
  <si>
    <t>Asortyment w szkołach – prawo</t>
  </si>
  <si>
    <t>Nowe rozporządzenie MZ z 16.02.2026 w sprawie grup środków spożywczych przeznaczonych do sprzedaży dzieciom i młodzieży w jednostkach systemu oświaty; wchodzi w życie 1.09.2026, uchyla rozporządzenie z 26.07.2016.</t>
  </si>
  <si>
    <t>Dz.U. 2026 poz. 197 (infor.pl – tekst aktu)</t>
  </si>
  <si>
    <t>20.02.2026</t>
  </si>
  <si>
    <t>https://www.infor.pl/akt-prawny/DZU.2026.051.0000197,rozporzadzenie-ministra-zdrowia-w-sprawie-grup-srodkow-spozywczych-przeznaczonych-do-sprzedazy-dzieciom-i-mlodziezy-w-jednostkach-systemu-oswiaty-oraz-wymagan-jakie-musza-spelniac-srodki-spozywcze-sto.html</t>
  </si>
  <si>
    <t>Uzasadnia niższy udział kupujących niż w biurach/galeriach.</t>
  </si>
  <si>
    <t>Ź2</t>
  </si>
  <si>
    <t>Asortyment w automatach szkolnych</t>
  </si>
  <si>
    <t>Zamknięta lista grup produktów obowiązuje także w automatach vendingowych. Dozwolone m.in.: woda, soki bez dodatku cukru, kanapki, owoce, orzechy, nabiał, gorzka czekolada. Brak zwykłych słodyczy i napojów słodzonych.</t>
  </si>
  <si>
    <t>PSSE w Turku (gov.pl)</t>
  </si>
  <si>
    <t>02.03.2026</t>
  </si>
  <si>
    <t>https://www.gov.pl/web/psse-turek/nowe-rozporzadzenie-w-sprawie-zywienia-dzieci-i-mlodziezy-w-szkolach-i-przedszkolach</t>
  </si>
  <si>
    <t>j.w. – ograniczony asortyment = niższa sprzedaż i niższy średni koszyk.</t>
  </si>
  <si>
    <t>Ź3</t>
  </si>
  <si>
    <t>Stawki VAT</t>
  </si>
  <si>
    <t>Woda butelkowana – 23%. Napoje z ≥20% soku, napoje mleczne i roślinne – 5%.</t>
  </si>
  <si>
    <t>Infor.pl / PAP (Księgowość)</t>
  </si>
  <si>
    <t>14.09.2026</t>
  </si>
  <si>
    <t>https://ksiegowosc.infor.pl/wiadomosci/7511182,23-vat-na-wode-butelkowana-5-vat-na-napoje-gazowane-i-dosladzane-z-dodatkiem-soku-dlaczego-polski-system-podatkowy-dyskryminuje-wode.html</t>
  </si>
  <si>
    <t>Średni VAT asortymentu przyjęty 12% (mix wody 23% i reszty 5%).</t>
  </si>
  <si>
    <t>Ź4</t>
  </si>
  <si>
    <t>Transakcje i średni koszyk</t>
  </si>
  <si>
    <t>40–80 transakcji dziennie (zależnie od lokalizacji), średni koszyk 5–8 zł, koszt towaru ok. 50% przychodu.</t>
  </si>
  <si>
    <t>VendHub – „Ile można zarobić na automatach vendingowych”</t>
  </si>
  <si>
    <t>19.03.2025</t>
  </si>
  <si>
    <t>https://www.vendhub.pl/32-ile-mozna-zarobic-na-automatach-vendingowych-przykladowe-kalkulacje/</t>
  </si>
  <si>
    <t>Średni koszyk 5–6 zł (dolna część przedziału – szkoła). Dane dotyczą biur/galerii/uczelni, nie szkół.</t>
  </si>
  <si>
    <t>Ź5</t>
  </si>
  <si>
    <t>Zarobki automatu w szkole</t>
  </si>
  <si>
    <t>Szkoła: ok. 800 zł/mies. (napoje), ok. 1 000 zł/mies. (przekąski); uczelnia: 1 500–1 700 zł/mies. Artykuł nie precyzuje, czy to zysk czy obrót.</t>
  </si>
  <si>
    <t>automatyvending.waw.pl – „Ile można zarobić na automatach vendingowych”</t>
  </si>
  <si>
    <t>brak daty</t>
  </si>
  <si>
    <t>https://automatyvending.waw.pl/ile-mozna-zarobic-na-automatach-vendingowych/</t>
  </si>
  <si>
    <t>Kalibracja udziału kupujących (4–7%).</t>
  </si>
  <si>
    <t>Ź6</t>
  </si>
  <si>
    <t>Obroty i marże</t>
  </si>
  <si>
    <t>Obrót: słabszy punkt 1 000–1 500 zł/mies., ruchliwa lokalizacja 3 000–6 000 zł/mies. Marża brutto: napoje butelkowane 40–60%, przekąski pakowane 30–50%.</t>
  </si>
  <si>
    <t>zwiadowca.pl – „Czy biznes vendingowy się opłaca”</t>
  </si>
  <si>
    <t>06.01.2026</t>
  </si>
  <si>
    <t>https://zwiadowca.pl/informacje/czy-sie-oplaca-zarobki-marze</t>
  </si>
  <si>
    <t>Kalibracja obrotu; marża brutto operatora 40%.</t>
  </si>
  <si>
    <t>Ź7</t>
  </si>
  <si>
    <t>Czynsz / prowizja dla lokalizacji</t>
  </si>
  <si>
    <t>Dzierżawa w standardowych lokalizacjach 10–20% przychodu, w premium 30–50%; kwotowo często od 200–400 zł/mies. Koszt towaru 50–70% przychodu. Przychód: dobra lokalizacja 800–2 000 zł/mies., uczelnie 3 000–5 000 zł.</t>
  </si>
  <si>
    <t>nssd.pl – „Automaty vendingowe czy się opłaca”</t>
  </si>
  <si>
    <t>10.05.2026</t>
  </si>
  <si>
    <t>https://nssd.pl/automaty-vendingowe-czy-sie-oplaca/</t>
  </si>
  <si>
    <t>Czynsz 10–15% obrotu netto. Uwaga: składowe kosztów w artykule nie sumują się spójnie.</t>
  </si>
  <si>
    <t>Ź8</t>
  </si>
  <si>
    <t>Galerie i dworce: zwykle 10–15% obrotu lub 500–1 000 zł/mies.; mniejsze placówki publiczne: 100–300 zł/m².</t>
  </si>
  <si>
    <t>E-lite – „Ile zysku przynosi automat vendingowy”</t>
  </si>
  <si>
    <t>29.01.2026 (akt. 12.02.2026)</t>
  </si>
  <si>
    <t>https://e-lite.com.pl/ile-zysku-przynosi-automat-vendingowy-kalkulator-rentownosci/</t>
  </si>
  <si>
    <t>Potwierdza przedział 10–15% i rząd wielkości kwot.</t>
  </si>
  <si>
    <t>Ź9</t>
  </si>
  <si>
    <t>Personel szkół</t>
  </si>
  <si>
    <t>Rok szkolny 2024/25: ok. 5,3 mln uczących się, 511 tys. nauczycieli.</t>
  </si>
  <si>
    <t>GUS – „Polska szkoła w liczbach” (Oświata i wychowanie 2024/2025)</t>
  </si>
  <si>
    <t>2025</t>
  </si>
  <si>
    <t>https://stat.gov.pl/dla-mediow/informacje-prasowe/polska-szkola-w-liczbach-jak-wyglada-edukacja-w-roku-szkolnym-20242025,36,1.html</t>
  </si>
  <si>
    <t>Personel = 10% liczby uczniów.</t>
  </si>
  <si>
    <t>Ź10</t>
  </si>
  <si>
    <t>Kalendarz roku szkolnego</t>
  </si>
  <si>
    <t>Rok 2025/26: 1.09.2025–26.06.2026; dni dyrektorskie: 6 (SP) do 10 (LO, technika).</t>
  </si>
  <si>
    <t>Forsal.pl</t>
  </si>
  <si>
    <t>01.07.2025</t>
  </si>
  <si>
    <t>https://forsal.pl/kraj/aktualnosci/artykuly/9830886,wyjatkowo-niekorzystny-uklad-roku-szkolnego-20252026-nie-beda-zadowo.html</t>
  </si>
  <si>
    <t>Wyliczenie własne: ok. 178–182 dni nauki → 18 dni/mies. przez 10 mies.</t>
  </si>
  <si>
    <t>Ź11</t>
  </si>
  <si>
    <t>Przetarg – szkoła</t>
  </si>
  <si>
    <t>ZS Łączności w Szczecinie, 2 automaty: cena wywoławcza 140 zł netto/automat/mies., najwyższa oferta 230 zł netto.</t>
  </si>
  <si>
    <t>BIP Technikum Łączności i Multimediów Cyfrowych w Szczecinie</t>
  </si>
  <si>
    <t>09.2019</t>
  </si>
  <si>
    <t>https://bip.tlimc.szczecin.pl/index.php?id=30</t>
  </si>
  <si>
    <t>Próg minimalny 150 zł. Dane historyczne (2019).</t>
  </si>
  <si>
    <t>Ź12</t>
  </si>
  <si>
    <t>ZS nr 4 w Szczecinie (ogł. 2/2025): powierzchnia 100×100 cm pod automaty z napojami i przekąskami, minimalna cena 400 zł netto/mies. + VAT.</t>
  </si>
  <si>
    <t>Ogłoszenie ZS nr 4 Szczecin</t>
  </si>
  <si>
    <t>02.2025</t>
  </si>
  <si>
    <t>https://www.zs4.szczecin.pl/wp-content/uploads/2025/02/Przetarg-na-automaty.pdf</t>
  </si>
  <si>
    <t>Punkt odniesienia dla stawek; powierzchnia 1 m².</t>
  </si>
  <si>
    <t>Ź13</t>
  </si>
  <si>
    <t>ZS nr 4 w Szczecinie (ogł. 3/2025): automat z gorącymi napojami (bez kofeiny), minimalna cena 400 zł netto/mies. + VAT.</t>
  </si>
  <si>
    <t>03.2025</t>
  </si>
  <si>
    <t>https://www.zs4.szczecin.pl/wp-content/uploads/2025/02/Przetarg-na-automaty-.pdf</t>
  </si>
  <si>
    <t>Punkt odniesienia dla stawek.</t>
  </si>
  <si>
    <t>Ź14</t>
  </si>
  <si>
    <t>ZS Gastronomicznych w Białymstoku: 2 automaty, 2 m², cena wywoławcza 800 zł netto/mies. (400 zł/automat). Status: rozstrzygnięty (wylicytowana kwota niepodana na stronie).</t>
  </si>
  <si>
    <t>BIP UM Białystok</t>
  </si>
  <si>
    <t>13.06.2025</t>
  </si>
  <si>
    <t>https://www.bip.bialystok.pl/postepowania/przetargi_na_nieruchomosci/zespol-szkol-gastronomicznych-w-bialymstoku-ul-knyszynska-12-1.html</t>
  </si>
  <si>
    <t>Punkt odniesienia; 1 m² na automat.</t>
  </si>
  <si>
    <t>Ź15</t>
  </si>
  <si>
    <t>ZS Budowlano-Geodezyjnych w Białymstoku: 2 automaty, 2 m², cena wywoławcza 1 350 zł netto/mies. (675 zł/automat). Status: NIEROZSTRZYGNIĘTY (brak rozstrzygnięcia).</t>
  </si>
  <si>
    <t>28.08.2026</t>
  </si>
  <si>
    <t>https://www.bip.bialystok.pl/postepowania/przetargi_na_nieruchomosci/zespol-szkol-budowlano-geodezyjnych-im-stefana-wladyslawa-bryly-w-bialymstoku-ul-slonimska-471-1.html</t>
  </si>
  <si>
    <t>Sygnał, że ~675 zł/automat to dla operatorów za dużo w tej szkole – górna granica rynku.</t>
  </si>
  <si>
    <t>Ź16</t>
  </si>
  <si>
    <t>Przetarg – szpital (porównawczo)</t>
  </si>
  <si>
    <t>Uniwersytecki Szpital Kliniczny w Opolu: 4 automaty po 1,5 m², min. 250 zł netto/automat/mies.; energia i woda płacone przez najemcę osobno.</t>
  </si>
  <si>
    <t>BIP USK Opole</t>
  </si>
  <si>
    <t>2024</t>
  </si>
  <si>
    <t>https://bip.usk.opole.pl/download/attachment/6483/1-ogloszenie-najem-powierzchni-pod-automaty-vendingowe-2024-aktualizacja-czynszu-1.pdf</t>
  </si>
  <si>
    <t>Media rozliczane poza czynszem (jak ryczałt za energię w modelu).</t>
  </si>
  <si>
    <t>Ź17</t>
  </si>
  <si>
    <t>Zużycie energii</t>
  </si>
  <si>
    <t>Automat z napojami chłodzonymi zużywa 7–14 kWh/dobę; norma pomiaru BS EN IEC 63252:2020.</t>
  </si>
  <si>
    <t>BSI Knowledge – BS EN IEC 63252</t>
  </si>
  <si>
    <t>2020</t>
  </si>
  <si>
    <t>https://knowledge.bsigroup.com/products/energy-consumption-of-vending-machines-1</t>
  </si>
  <si>
    <t>Przyjęto 200 kWh/mies. (nowsze automaty zużywają mniej).</t>
  </si>
  <si>
    <t>Ź18</t>
  </si>
  <si>
    <t>Cena energii 2026</t>
  </si>
  <si>
    <t>Średnia cena energii w taryfach 2026: 495,16 zł/MWh; dystrybucja zmienna 0,25–0,35 zł/kWh + opłaty (OZE, kogeneracyjna, akcyza, jakościowa, mocowa).</t>
  </si>
  <si>
    <t>Murator Dom – „Ile zapłacisz za prąd w 2026 r.”</t>
  </si>
  <si>
    <t>04.01.2026</t>
  </si>
  <si>
    <t>https://muratordom.pl/prawo/finanse/ile-zaplacisz-za-prad-w-2026-r-aa-1t2X-FBQU-t5cM.html</t>
  </si>
  <si>
    <t>≈ 0,8–0,9 zł/kWh netto + opłaty stałe → przyjęto 1,00 zł/kWh. Taryfy dla gospodarstw (G11) – szkoła ma inną.</t>
  </si>
  <si>
    <t>Ź19</t>
  </si>
  <si>
    <t>XVII LO (ZSO nr 7) w Krakowie: 1 automat; oferta w zł brutto za m²; gdy brak pomiaru przyjmuje się 1,5 m².</t>
  </si>
  <si>
    <t>Strona XVII LO w Krakowie</t>
  </si>
  <si>
    <t>20.01.2025</t>
  </si>
  <si>
    <t>https://liceum.zso7.pl/najem-powierzchni/</t>
  </si>
  <si>
    <t>Powierzchnia automatu; brak stawki minimalnej w ogłoszeniu.</t>
  </si>
  <si>
    <t>Ź20</t>
  </si>
  <si>
    <t>Przetarg – uczelnia (porównawczo)</t>
  </si>
  <si>
    <t>Uniwersytet Medyczny w Poznaniu: 1,5 m² pod 1 automat, min. 400 zł netto/mies., w lipcu–wrześniu 50% stawki.</t>
  </si>
  <si>
    <t>Platforma Zakupowa (opis postępowania z wyników wyszukiwania)</t>
  </si>
  <si>
    <t>b.d.</t>
  </si>
  <si>
    <t>https://platformazakupowa.pl/transakcja/1095271</t>
  </si>
  <si>
    <t>NIEZWERYFIKOWANE bezpośrednio (strona wymaga logowania). Pomysł obniżki w wakacje.</t>
  </si>
  <si>
    <t>Ź21</t>
  </si>
  <si>
    <t>Przetarg – szkoła (historyczny)</t>
  </si>
  <si>
    <t>ZSP w Świdwinie: 3 m², do 2 automatów, min. 70 zł netto/m², energia wliczona w czynsz.</t>
  </si>
  <si>
    <t>BIP ZS w Świdwinie</t>
  </si>
  <si>
    <t>21.06.2012</t>
  </si>
  <si>
    <t>https://bip.zsswidwin.pl/zamowienia/pokaz/12</t>
  </si>
  <si>
    <t>Tylko historycznie – pokazuje wariant z mediami wliczonymi w czynsz.</t>
  </si>
  <si>
    <t>Porównanie modelu z przetargami</t>
  </si>
  <si>
    <t>Przetargi szkolne: ceny wywoławcze 140–675 zł/automat (Ź11–Ź15); wylicytowano 230 zł (2019); przetarg z ceną 675 zł/automat nie znalazł najemcy (Ź15). Liczby uczniów tych szkół nie są znane, więc to kontrola rzędu wielkości, a nie dokładna kalibracja.</t>
  </si>
  <si>
    <t>Założenia bez źródła (szacunki własne – do weryfikacji)</t>
  </si>
  <si>
    <t>• Udział kupujących dziennie 4–7% – brak publicznych danych; dobrany tak, by obrót był zgodny z Ź5–Ź7.</t>
  </si>
  <si>
    <t>• Wydajność 120 transakcji dziennie na automat – szacunek (pojemność, kolejki na przerwach).</t>
  </si>
  <si>
    <t>• Współczynniki typu szkoły (SP 0,70 … policealna 1,10) – szacunek.</t>
  </si>
  <si>
    <t>• Próg ostrzeżenia 40% marży operatora – szacunek.</t>
  </si>
  <si>
    <t>• Najlepsza kalibracja: dane sprzedażowe z własnych automatów lub informacje o wylicytowanych stawkach w przetargach w Twoim regionie (BIP szkół / organu prowadzącego).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</si>
</sst>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0&quot; zł&quot;"/>
    <numFmt numFmtId="166" formatCode="#,##0&quot; zł&quot;"/>
    <numFmt numFmtId="167" formatCode="0.00&quot; m²&quot;"/>
    <numFmt numFmtId="168" formatCode="#,##0.0"/>
  </numFmts>
  <fonts count="20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i/>
      <sz val="9"/>
      <color rgb="FF000000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6"/>
      <color rgb="FF000000"/>
      <name val="Arial"/>
    </font>
    <font>
      <b/>
      <sz val="10"/>
      <color rgb="FF000000"/>
      <name val="Arial"/>
    </font>
    <font>
      <b/>
      <sz val="11"/>
      <color rgb="FF0000FF"/>
      <name val="Arial"/>
    </font>
    <font>
      <sz val="10"/>
      <color rgb="FF000000"/>
      <name val="Arial"/>
    </font>
    <font>
      <sz val="10"/>
      <color rgb="FF008000"/>
      <name val="Arial"/>
    </font>
    <font>
      <b/>
      <sz val="12"/>
      <color rgb="FF000000"/>
      <name val="Arial"/>
    </font>
    <font>
      <b/>
      <i/>
      <sz val="9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0000FF"/>
      <name val="Arial"/>
    </font>
    <font>
      <b/>
      <sz val="9"/>
      <color rgb="FF008000"/>
      <name val="Arial"/>
    </font>
    <font>
      <b/>
      <sz val="10"/>
      <color rgb="FF008000"/>
      <name val="Arial"/>
    </font>
    <font>
      <b/>
      <sz val="10"/>
      <color rgb="FF0000FF"/>
      <name val="Arial"/>
    </font>
    <font>
      <u/>
      <sz val="9"/>
      <color rgb="FF0563C1"/>
      <name val="Arial"/>
    </font>
    <font>
      <b/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5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3" fontId="7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6" fontId="1" fillId="5" borderId="1" xfId="0" applyNumberFormat="1" applyFont="1" applyFill="1" applyBorder="1" applyAlignment="1">
      <alignment horizontal="center"/>
    </xf>
    <xf numFmtId="0" fontId="8" fillId="0" borderId="1" xfId="0" applyFont="1" applyBorder="1"/>
    <xf numFmtId="166" fontId="8" fillId="5" borderId="1" xfId="0" applyNumberFormat="1" applyFont="1" applyFill="1" applyBorder="1" applyAlignment="1">
      <alignment horizontal="center"/>
    </xf>
    <xf numFmtId="165" fontId="8" fillId="5" borderId="1" xfId="0" applyNumberFormat="1" applyFont="1" applyFill="1" applyBorder="1" applyAlignment="1">
      <alignment horizontal="center"/>
    </xf>
    <xf numFmtId="0" fontId="11" fillId="0" borderId="0" xfId="0" applyFont="1"/>
    <xf numFmtId="164" fontId="8" fillId="5" borderId="1" xfId="0" applyNumberFormat="1" applyFont="1" applyFill="1" applyBorder="1" applyAlignment="1">
      <alignment horizontal="center"/>
    </xf>
    <xf numFmtId="3" fontId="8" fillId="0" borderId="1" xfId="0" applyNumberFormat="1" applyFont="1" applyBorder="1"/>
    <xf numFmtId="2" fontId="8" fillId="0" borderId="1" xfId="0" applyNumberFormat="1" applyFont="1" applyBorder="1"/>
    <xf numFmtId="164" fontId="9" fillId="0" borderId="1" xfId="0" applyNumberFormat="1" applyFont="1" applyBorder="1"/>
    <xf numFmtId="168" fontId="8" fillId="0" borderId="1" xfId="0" applyNumberFormat="1" applyFont="1" applyBorder="1"/>
    <xf numFmtId="165" fontId="9" fillId="0" borderId="1" xfId="0" applyNumberFormat="1" applyFont="1" applyBorder="1"/>
    <xf numFmtId="166" fontId="8" fillId="0" borderId="1" xfId="0" applyNumberFormat="1" applyFont="1" applyBorder="1"/>
    <xf numFmtId="0" fontId="6" fillId="4" borderId="1" xfId="0" applyFont="1" applyFill="1" applyBorder="1"/>
    <xf numFmtId="166" fontId="6" fillId="4" borderId="1" xfId="0" applyNumberFormat="1" applyFont="1" applyFill="1" applyBorder="1"/>
    <xf numFmtId="0" fontId="6" fillId="0" borderId="0" xfId="0" applyFont="1"/>
    <xf numFmtId="0" fontId="14" fillId="3" borderId="0" xfId="0" applyFont="1" applyFill="1"/>
    <xf numFmtId="0" fontId="13" fillId="0" borderId="0" xfId="0" applyFont="1"/>
    <xf numFmtId="0" fontId="15" fillId="0" borderId="0" xfId="0" applyFont="1"/>
    <xf numFmtId="0" fontId="12" fillId="0" borderId="0" xfId="0" applyFont="1"/>
    <xf numFmtId="0" fontId="1" fillId="0" borderId="0" xfId="0" applyFont="1"/>
    <xf numFmtId="0" fontId="0" fillId="0" borderId="1" xfId="0" applyBorder="1" applyAlignment="1">
      <alignment vertical="center" wrapText="1"/>
    </xf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0" fontId="0" fillId="0" borderId="0" xfId="0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vertical="center" wrapText="1"/>
    </xf>
    <xf numFmtId="3" fontId="4" fillId="3" borderId="1" xfId="0" applyNumberFormat="1" applyFont="1" applyFill="1" applyBorder="1"/>
    <xf numFmtId="166" fontId="4" fillId="3" borderId="1" xfId="0" applyNumberFormat="1" applyFont="1" applyFill="1" applyBorder="1"/>
    <xf numFmtId="167" fontId="4" fillId="3" borderId="1" xfId="0" applyNumberFormat="1" applyFont="1" applyFill="1" applyBorder="1"/>
    <xf numFmtId="2" fontId="4" fillId="3" borderId="1" xfId="0" applyNumberFormat="1" applyFont="1" applyFill="1" applyBorder="1"/>
    <xf numFmtId="0" fontId="16" fillId="0" borderId="0" xfId="0" applyFont="1"/>
    <xf numFmtId="2" fontId="6" fillId="0" borderId="0" xfId="0" applyNumberFormat="1" applyFont="1"/>
    <xf numFmtId="3" fontId="17" fillId="0" borderId="1" xfId="0" applyNumberFormat="1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3" fontId="17" fillId="6" borderId="1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166" fontId="8" fillId="6" borderId="1" xfId="0" applyNumberFormat="1" applyFont="1" applyFill="1" applyBorder="1" applyAlignment="1">
      <alignment horizontal="center"/>
    </xf>
    <xf numFmtId="166" fontId="6" fillId="6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2" fillId="6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vertical="top" wrapText="1"/>
    </xf>
    <xf numFmtId="0" fontId="18" fillId="6" borderId="1" xfId="0" applyFont="1" applyFill="1" applyBorder="1" applyAlignment="1">
      <alignment vertical="top" wrapText="1"/>
    </xf>
    <xf numFmtId="0" fontId="19" fillId="0" borderId="0" xfId="0" applyFont="1"/>
    <xf numFmtId="3" fontId="8" fillId="5" borderId="1" xfId="0" applyNumberFormat="1" applyFont="1" applyFill="1" applyBorder="1" applyAlignment="1">
      <alignment horizontal="center"/>
    </xf>
    <xf numFmtId="0" fontId="0" fillId="0" borderId="2" xfId="0" applyBorder="1"/>
    <xf numFmtId="166" fontId="10" fillId="5" borderId="1" xfId="0" applyNumberFormat="1" applyFont="1" applyFill="1" applyBorder="1" applyAlignment="1">
      <alignment horizontal="center"/>
    </xf>
    <xf numFmtId="166" fontId="8" fillId="5" borderId="1" xfId="0" applyNumberFormat="1" applyFont="1" applyFill="1" applyBorder="1" applyAlignment="1">
      <alignment horizontal="center"/>
    </xf>
  </cellXfs>
  <cellStyles count="1">
    <cellStyle name="Normalny" xfId="0" builtinId="0"/>
  </cellStyles>
  <dxfs count="4"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t>Czynsz miesięczny (netto) a liczba uczniów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Tabela!$C$5</c:f>
              <c:strCache>
                <c:ptCount val="1"/>
                <c:pt idx="0">
                  <c:v>Czynsz MIN
(łącznie)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Tabela!$A$6:$A$21</c:f>
              <c:numCache>
                <c:formatCode>#,##0</c:formatCode>
                <c:ptCount val="1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  <c:pt idx="8">
                  <c:v>600</c:v>
                </c:pt>
                <c:pt idx="9">
                  <c:v>700</c:v>
                </c:pt>
                <c:pt idx="10">
                  <c:v>800</c:v>
                </c:pt>
                <c:pt idx="11">
                  <c:v>900</c:v>
                </c:pt>
                <c:pt idx="12">
                  <c:v>1000</c:v>
                </c:pt>
                <c:pt idx="13">
                  <c:v>1200</c:v>
                </c:pt>
                <c:pt idx="14">
                  <c:v>1500</c:v>
                </c:pt>
                <c:pt idx="15">
                  <c:v>2000</c:v>
                </c:pt>
              </c:numCache>
            </c:numRef>
          </c:cat>
          <c:val>
            <c:numRef>
              <c:f>Tabela!$C$6:$C$21</c:f>
              <c:numCache>
                <c:formatCode>#\ ##0" zł"</c:formatCode>
                <c:ptCount val="16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180</c:v>
                </c:pt>
                <c:pt idx="8">
                  <c:v>210</c:v>
                </c:pt>
                <c:pt idx="9">
                  <c:v>250</c:v>
                </c:pt>
                <c:pt idx="10">
                  <c:v>280</c:v>
                </c:pt>
                <c:pt idx="11">
                  <c:v>320</c:v>
                </c:pt>
                <c:pt idx="12">
                  <c:v>350</c:v>
                </c:pt>
                <c:pt idx="13">
                  <c:v>420</c:v>
                </c:pt>
                <c:pt idx="14">
                  <c:v>530</c:v>
                </c:pt>
                <c:pt idx="15">
                  <c:v>710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C7-4DBA-A1D7-11207BE0A3A8}"/>
            </c:ext>
          </c:extLst>
        </c:ser>
        <c:ser>
          <c:idx val="1"/>
          <c:order val="1"/>
          <c:tx>
            <c:strRef>
              <c:f>Tabela!$D$5</c:f>
              <c:strCache>
                <c:ptCount val="1"/>
                <c:pt idx="0">
                  <c:v>Czynsz MAX
(łącznie)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Tabela!$A$6:$A$21</c:f>
              <c:numCache>
                <c:formatCode>#,##0</c:formatCode>
                <c:ptCount val="1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  <c:pt idx="8">
                  <c:v>600</c:v>
                </c:pt>
                <c:pt idx="9">
                  <c:v>700</c:v>
                </c:pt>
                <c:pt idx="10">
                  <c:v>800</c:v>
                </c:pt>
                <c:pt idx="11">
                  <c:v>900</c:v>
                </c:pt>
                <c:pt idx="12">
                  <c:v>1000</c:v>
                </c:pt>
                <c:pt idx="13">
                  <c:v>1200</c:v>
                </c:pt>
                <c:pt idx="14">
                  <c:v>1500</c:v>
                </c:pt>
                <c:pt idx="15">
                  <c:v>2000</c:v>
                </c:pt>
              </c:numCache>
            </c:numRef>
          </c:cat>
          <c:val>
            <c:numRef>
              <c:f>Tabela!$D$6:$D$21</c:f>
              <c:numCache>
                <c:formatCode>#\ ##0" zł"</c:formatCode>
                <c:ptCount val="16"/>
                <c:pt idx="0">
                  <c:v>150</c:v>
                </c:pt>
                <c:pt idx="1">
                  <c:v>150</c:v>
                </c:pt>
                <c:pt idx="2">
                  <c:v>170</c:v>
                </c:pt>
                <c:pt idx="3">
                  <c:v>220</c:v>
                </c:pt>
                <c:pt idx="4">
                  <c:v>280</c:v>
                </c:pt>
                <c:pt idx="5">
                  <c:v>330</c:v>
                </c:pt>
                <c:pt idx="6">
                  <c:v>450</c:v>
                </c:pt>
                <c:pt idx="7">
                  <c:v>560</c:v>
                </c:pt>
                <c:pt idx="8">
                  <c:v>670</c:v>
                </c:pt>
                <c:pt idx="9">
                  <c:v>780</c:v>
                </c:pt>
                <c:pt idx="10">
                  <c:v>890</c:v>
                </c:pt>
                <c:pt idx="11">
                  <c:v>1000</c:v>
                </c:pt>
                <c:pt idx="12">
                  <c:v>1110</c:v>
                </c:pt>
                <c:pt idx="13">
                  <c:v>1340</c:v>
                </c:pt>
                <c:pt idx="14">
                  <c:v>1670</c:v>
                </c:pt>
                <c:pt idx="15">
                  <c:v>2230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C7-4DBA-A1D7-11207BE0A3A8}"/>
            </c:ext>
          </c:extLst>
        </c:ser>
        <c:ser>
          <c:idx val="2"/>
          <c:order val="2"/>
          <c:tx>
            <c:strRef>
              <c:f>Tabela!$E$5</c:f>
              <c:strCache>
                <c:ptCount val="1"/>
                <c:pt idx="0">
                  <c:v>Stawka wyjściowa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Tabela!$A$6:$A$21</c:f>
              <c:numCache>
                <c:formatCode>#,##0</c:formatCode>
                <c:ptCount val="1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  <c:pt idx="8">
                  <c:v>600</c:v>
                </c:pt>
                <c:pt idx="9">
                  <c:v>700</c:v>
                </c:pt>
                <c:pt idx="10">
                  <c:v>800</c:v>
                </c:pt>
                <c:pt idx="11">
                  <c:v>900</c:v>
                </c:pt>
                <c:pt idx="12">
                  <c:v>1000</c:v>
                </c:pt>
                <c:pt idx="13">
                  <c:v>1200</c:v>
                </c:pt>
                <c:pt idx="14">
                  <c:v>1500</c:v>
                </c:pt>
                <c:pt idx="15">
                  <c:v>2000</c:v>
                </c:pt>
              </c:numCache>
            </c:numRef>
          </c:cat>
          <c:val>
            <c:numRef>
              <c:f>Tabela!$E$6:$E$21</c:f>
              <c:numCache>
                <c:formatCode>#\ ##0" zł"</c:formatCode>
                <c:ptCount val="16"/>
                <c:pt idx="0">
                  <c:v>150</c:v>
                </c:pt>
                <c:pt idx="1">
                  <c:v>150</c:v>
                </c:pt>
                <c:pt idx="2">
                  <c:v>160</c:v>
                </c:pt>
                <c:pt idx="3">
                  <c:v>190</c:v>
                </c:pt>
                <c:pt idx="4">
                  <c:v>220</c:v>
                </c:pt>
                <c:pt idx="5">
                  <c:v>240</c:v>
                </c:pt>
                <c:pt idx="6">
                  <c:v>300</c:v>
                </c:pt>
                <c:pt idx="7">
                  <c:v>370</c:v>
                </c:pt>
                <c:pt idx="8">
                  <c:v>440</c:v>
                </c:pt>
                <c:pt idx="9">
                  <c:v>520</c:v>
                </c:pt>
                <c:pt idx="10">
                  <c:v>590</c:v>
                </c:pt>
                <c:pt idx="11">
                  <c:v>660</c:v>
                </c:pt>
                <c:pt idx="12">
                  <c:v>730</c:v>
                </c:pt>
                <c:pt idx="13">
                  <c:v>880</c:v>
                </c:pt>
                <c:pt idx="14">
                  <c:v>1100</c:v>
                </c:pt>
                <c:pt idx="15">
                  <c:v>1470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7C7-4DBA-A1D7-11207BE0A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Liczba uczniów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zł / miesiąc</a:t>
                </a:r>
              </a:p>
            </c:rich>
          </c:tx>
          <c:overlay val="1"/>
        </c:title>
        <c:numFmt formatCode="#\ ##0&quot; zł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-lite.com.pl/ile-zysku-przynosi-automat-vendingowy-kalkulator-rentownosci/" TargetMode="External"/><Relationship Id="rId13" Type="http://schemas.openxmlformats.org/officeDocument/2006/relationships/hyperlink" Target="https://www.zs4.szczecin.pl/wp-content/uploads/2025/02/Przetarg-na-automaty-.pdf" TargetMode="External"/><Relationship Id="rId18" Type="http://schemas.openxmlformats.org/officeDocument/2006/relationships/hyperlink" Target="https://muratordom.pl/prawo/finanse/ile-zaplacisz-za-prad-w-2026-r-aa-1t2X-FBQU-t5cM.html" TargetMode="External"/><Relationship Id="rId3" Type="http://schemas.openxmlformats.org/officeDocument/2006/relationships/hyperlink" Target="https://ksiegowosc.infor.pl/wiadomosci/7511182,23-vat-na-wode-butelkowana-5-vat-na-napoje-gazowane-i-dosladzane-z-dodatkiem-soku-dlaczego-polski-system-podatkowy-dyskryminuje-wode.html" TargetMode="External"/><Relationship Id="rId21" Type="http://schemas.openxmlformats.org/officeDocument/2006/relationships/hyperlink" Target="https://bip.zsswidwin.pl/zamowienia/pokaz/12" TargetMode="External"/><Relationship Id="rId7" Type="http://schemas.openxmlformats.org/officeDocument/2006/relationships/hyperlink" Target="https://nssd.pl/automaty-vendingowe-czy-sie-oplaca/" TargetMode="External"/><Relationship Id="rId12" Type="http://schemas.openxmlformats.org/officeDocument/2006/relationships/hyperlink" Target="https://www.zs4.szczecin.pl/wp-content/uploads/2025/02/Przetarg-na-automaty.pdf" TargetMode="External"/><Relationship Id="rId17" Type="http://schemas.openxmlformats.org/officeDocument/2006/relationships/hyperlink" Target="https://knowledge.bsigroup.com/products/energy-consumption-of-vending-machines-1" TargetMode="External"/><Relationship Id="rId2" Type="http://schemas.openxmlformats.org/officeDocument/2006/relationships/hyperlink" Target="https://www.gov.pl/web/psse-turek/nowe-rozporzadzenie-w-sprawie-zywienia-dzieci-i-mlodziezy-w-szkolach-i-przedszkolach" TargetMode="External"/><Relationship Id="rId16" Type="http://schemas.openxmlformats.org/officeDocument/2006/relationships/hyperlink" Target="https://bip.usk.opole.pl/download/attachment/6483/1-ogloszenie-najem-powierzchni-pod-automaty-vendingowe-2024-aktualizacja-czynszu-1.pdf" TargetMode="External"/><Relationship Id="rId20" Type="http://schemas.openxmlformats.org/officeDocument/2006/relationships/hyperlink" Target="https://platformazakupowa.pl/transakcja/1095271" TargetMode="External"/><Relationship Id="rId1" Type="http://schemas.openxmlformats.org/officeDocument/2006/relationships/hyperlink" Target="https://www.infor.pl/akt-prawny/DZU.2026.051.0000197,rozporzadzenie-ministra-zdrowia-w-sprawie-grup-srodkow-spozywczych-przeznaczonych-do-sprzedazy-dzieciom-i-mlodziezy-w-jednostkach-systemu-oswiaty-oraz-wymagan-jakie-musza-spelniac-srodki-spozywcze-sto.html" TargetMode="External"/><Relationship Id="rId6" Type="http://schemas.openxmlformats.org/officeDocument/2006/relationships/hyperlink" Target="https://zwiadowca.pl/informacje/czy-sie-oplaca-zarobki-marze" TargetMode="External"/><Relationship Id="rId11" Type="http://schemas.openxmlformats.org/officeDocument/2006/relationships/hyperlink" Target="https://bip.tlimc.szczecin.pl/index.php?id=30" TargetMode="External"/><Relationship Id="rId5" Type="http://schemas.openxmlformats.org/officeDocument/2006/relationships/hyperlink" Target="https://automatyvending.waw.pl/ile-mozna-zarobic-na-automatach-vendingowych/" TargetMode="External"/><Relationship Id="rId15" Type="http://schemas.openxmlformats.org/officeDocument/2006/relationships/hyperlink" Target="https://www.bip.bialystok.pl/postepowania/przetargi_na_nieruchomosci/zespol-szkol-budowlano-geodezyjnych-im-stefana-wladyslawa-bryly-w-bialymstoku-ul-slonimska-471-1.html" TargetMode="External"/><Relationship Id="rId10" Type="http://schemas.openxmlformats.org/officeDocument/2006/relationships/hyperlink" Target="https://forsal.pl/kraj/aktualnosci/artykuly/9830886,wyjatkowo-niekorzystny-uklad-roku-szkolnego-20252026-nie-beda-zadowo.html" TargetMode="External"/><Relationship Id="rId19" Type="http://schemas.openxmlformats.org/officeDocument/2006/relationships/hyperlink" Target="https://liceum.zso7.pl/najem-powierzchni/" TargetMode="External"/><Relationship Id="rId4" Type="http://schemas.openxmlformats.org/officeDocument/2006/relationships/hyperlink" Target="https://www.vendhub.pl/32-ile-mozna-zarobic-na-automatach-vendingowych-przykladowe-kalkulacje/" TargetMode="External"/><Relationship Id="rId9" Type="http://schemas.openxmlformats.org/officeDocument/2006/relationships/hyperlink" Target="https://stat.gov.pl/dla-mediow/informacje-prasowe/polska-szkola-w-liczbach-jak-wyglada-edukacja-w-roku-szkolnym-20242025,36,1.html" TargetMode="External"/><Relationship Id="rId14" Type="http://schemas.openxmlformats.org/officeDocument/2006/relationships/hyperlink" Target="https://www.bip.bialystok.pl/postepowania/przetargi_na_nieruchomosci/zespol-szkol-gastronomicznych-w-bialymstoku-ul-knyszynska-12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3"/>
  <sheetViews>
    <sheetView showGridLines="0" tabSelected="1" workbookViewId="0"/>
  </sheetViews>
  <sheetFormatPr defaultRowHeight="15" x14ac:dyDescent="0.25"/>
  <cols>
    <col min="1" max="1" width="2" customWidth="1"/>
    <col min="2" max="2" width="46" customWidth="1"/>
    <col min="3" max="4" width="20" customWidth="1"/>
    <col min="5" max="5" width="70" customWidth="1"/>
  </cols>
  <sheetData>
    <row r="1" spans="2:5" ht="20.25" x14ac:dyDescent="0.3">
      <c r="B1" s="1" t="s">
        <v>0</v>
      </c>
    </row>
    <row r="2" spans="2:5" x14ac:dyDescent="0.25">
      <c r="B2" s="2" t="s">
        <v>1</v>
      </c>
    </row>
    <row r="4" spans="2:5" ht="20.100000000000001" customHeight="1" x14ac:dyDescent="0.25">
      <c r="B4" s="3" t="s">
        <v>2</v>
      </c>
      <c r="C4" s="3" t="s">
        <v>3</v>
      </c>
      <c r="D4" s="3"/>
      <c r="E4" s="3" t="s">
        <v>4</v>
      </c>
    </row>
    <row r="5" spans="2:5" x14ac:dyDescent="0.25">
      <c r="B5" s="4" t="s">
        <v>5</v>
      </c>
      <c r="C5" s="5">
        <v>500</v>
      </c>
      <c r="E5" s="2" t="s">
        <v>6</v>
      </c>
    </row>
    <row r="6" spans="2:5" x14ac:dyDescent="0.25">
      <c r="B6" s="4" t="s">
        <v>7</v>
      </c>
      <c r="C6" s="6" t="s">
        <v>8</v>
      </c>
      <c r="E6" s="2" t="s">
        <v>9</v>
      </c>
    </row>
    <row r="7" spans="2:5" x14ac:dyDescent="0.25">
      <c r="B7" s="4" t="s">
        <v>10</v>
      </c>
      <c r="C7" s="5">
        <v>1</v>
      </c>
      <c r="E7" s="2" t="s">
        <v>11</v>
      </c>
    </row>
    <row r="9" spans="2:5" ht="20.100000000000001" customHeight="1" x14ac:dyDescent="0.25">
      <c r="B9" s="3" t="s">
        <v>12</v>
      </c>
      <c r="C9" s="3" t="s">
        <v>13</v>
      </c>
      <c r="D9" s="3" t="s">
        <v>14</v>
      </c>
      <c r="E9" s="3" t="s">
        <v>15</v>
      </c>
    </row>
    <row r="10" spans="2:5" ht="24" customHeight="1" x14ac:dyDescent="0.25">
      <c r="B10" s="4" t="s">
        <v>16</v>
      </c>
      <c r="C10" s="7">
        <f>C33</f>
        <v>180</v>
      </c>
      <c r="D10" s="7">
        <f>D33</f>
        <v>560</v>
      </c>
      <c r="E10" s="2" t="s">
        <v>17</v>
      </c>
    </row>
    <row r="11" spans="2:5" ht="15.75" x14ac:dyDescent="0.25">
      <c r="B11" s="4" t="s">
        <v>18</v>
      </c>
      <c r="C11" s="56">
        <f>ROUND(AVERAGE(C10:D10)/Założenia!$C$20,0)*Założenia!$C$20</f>
        <v>370</v>
      </c>
      <c r="D11" s="55"/>
      <c r="E11" s="2" t="s">
        <v>19</v>
      </c>
    </row>
    <row r="12" spans="2:5" x14ac:dyDescent="0.25">
      <c r="B12" s="8" t="s">
        <v>20</v>
      </c>
      <c r="C12" s="9">
        <f>C10/$C$7</f>
        <v>180</v>
      </c>
      <c r="D12" s="9">
        <f>D10/$C$7</f>
        <v>560</v>
      </c>
    </row>
    <row r="13" spans="2:5" x14ac:dyDescent="0.25">
      <c r="B13" s="8" t="s">
        <v>21</v>
      </c>
      <c r="C13" s="10">
        <f>C12/Założenia!$C$15</f>
        <v>180</v>
      </c>
      <c r="D13" s="10">
        <f>D12/Założenia!$C$15</f>
        <v>560</v>
      </c>
      <c r="E13" s="2" t="s">
        <v>22</v>
      </c>
    </row>
    <row r="14" spans="2:5" x14ac:dyDescent="0.25">
      <c r="B14" s="8" t="s">
        <v>23</v>
      </c>
      <c r="C14" s="9">
        <f>C10*Założenia!$C$11</f>
        <v>1800</v>
      </c>
      <c r="D14" s="9">
        <f>D10*Założenia!$C$11</f>
        <v>5600</v>
      </c>
      <c r="E14" s="2" t="s">
        <v>24</v>
      </c>
    </row>
    <row r="15" spans="2:5" x14ac:dyDescent="0.25">
      <c r="B15" s="8" t="s">
        <v>25</v>
      </c>
      <c r="C15" s="9">
        <f>C14/12</f>
        <v>150</v>
      </c>
      <c r="D15" s="9">
        <f>D14/12</f>
        <v>466.66666666666669</v>
      </c>
      <c r="E15" s="2" t="s">
        <v>26</v>
      </c>
    </row>
    <row r="16" spans="2:5" x14ac:dyDescent="0.25">
      <c r="B16" s="8" t="s">
        <v>27</v>
      </c>
      <c r="C16" s="57">
        <f>Założenia!$C$16*Założenia!$C$17*$C$7</f>
        <v>200</v>
      </c>
      <c r="D16" s="55"/>
      <c r="E16" s="2" t="s">
        <v>28</v>
      </c>
    </row>
    <row r="17" spans="2:5" x14ac:dyDescent="0.25">
      <c r="B17" s="8" t="s">
        <v>29</v>
      </c>
      <c r="C17" s="54">
        <f>MAX(1,ROUNDUP(D24/Założenia!$C$14,0))</f>
        <v>1</v>
      </c>
      <c r="D17" s="55"/>
      <c r="E17" s="11" t="str">
        <f>IF($C$7&lt;C17,"Popyt przekracza wydajność – rozważ "&amp;C17&amp;" automat(y) lub ceny wzrosną ponad model","Liczba automatów wystarczająca")</f>
        <v>Liczba automatów wystarczająca</v>
      </c>
    </row>
    <row r="18" spans="2:5" x14ac:dyDescent="0.25">
      <c r="B18" s="8" t="s">
        <v>30</v>
      </c>
      <c r="C18" s="12">
        <f>IFERROR(C10/(C29*Założenia!$C$18),0)</f>
        <v>0.25454545454545457</v>
      </c>
      <c r="D18" s="12">
        <f>IFERROR(D10/(D29*Założenia!$C$18),0)</f>
        <v>0.37710437710437705</v>
      </c>
      <c r="E18" s="11" t="str">
        <f>IF(MAX(C18:D18)&gt;Założenia!$C$19,"UWAGA: czynsz pochłania dużą część marży – ryzyko braku ofert operatorów","OK – stawki realne dla operatora")</f>
        <v>OK – stawki realne dla operatora</v>
      </c>
    </row>
    <row r="20" spans="2:5" ht="20.100000000000001" customHeight="1" x14ac:dyDescent="0.25">
      <c r="B20" s="3" t="s">
        <v>31</v>
      </c>
      <c r="C20" s="3" t="s">
        <v>32</v>
      </c>
      <c r="D20" s="3" t="s">
        <v>33</v>
      </c>
      <c r="E20" s="3" t="s">
        <v>34</v>
      </c>
    </row>
    <row r="21" spans="2:5" x14ac:dyDescent="0.25">
      <c r="B21" s="8" t="s">
        <v>35</v>
      </c>
      <c r="C21" s="13">
        <f>$C$5*(1+Założenia!$C$9)</f>
        <v>550</v>
      </c>
      <c r="D21" s="13">
        <f>C21</f>
        <v>550</v>
      </c>
      <c r="E21" s="2" t="s">
        <v>36</v>
      </c>
    </row>
    <row r="22" spans="2:5" x14ac:dyDescent="0.25">
      <c r="B22" s="8" t="s">
        <v>37</v>
      </c>
      <c r="C22" s="14">
        <f>IFERROR(INDEX(Założenia!$C$23:$C$28,MATCH($C$6,Założenia!$B$23:$B$28,0)),1)</f>
        <v>1</v>
      </c>
      <c r="D22" s="14">
        <f>C22</f>
        <v>1</v>
      </c>
      <c r="E22" s="2" t="s">
        <v>38</v>
      </c>
    </row>
    <row r="23" spans="2:5" x14ac:dyDescent="0.25">
      <c r="B23" s="8" t="s">
        <v>39</v>
      </c>
      <c r="C23" s="15">
        <f>Założenia!C4</f>
        <v>0.04</v>
      </c>
      <c r="D23" s="15">
        <f>Założenia!D4</f>
        <v>7.0000000000000007E-2</v>
      </c>
      <c r="E23" s="2" t="s">
        <v>40</v>
      </c>
    </row>
    <row r="24" spans="2:5" x14ac:dyDescent="0.25">
      <c r="B24" s="8" t="s">
        <v>41</v>
      </c>
      <c r="C24" s="16">
        <f>C21*C22*C23</f>
        <v>22</v>
      </c>
      <c r="D24" s="16">
        <f>D21*D22*D23</f>
        <v>38.500000000000007</v>
      </c>
      <c r="E24" s="2" t="s">
        <v>42</v>
      </c>
    </row>
    <row r="25" spans="2:5" x14ac:dyDescent="0.25">
      <c r="B25" s="8" t="s">
        <v>43</v>
      </c>
      <c r="C25" s="16">
        <f>MIN(C24,$C$7*Założenia!$C$14)</f>
        <v>22</v>
      </c>
      <c r="D25" s="16">
        <f>MIN(D24,$C$7*Założenia!$C$14)</f>
        <v>38.500000000000007</v>
      </c>
      <c r="E25" s="2" t="s">
        <v>44</v>
      </c>
    </row>
    <row r="26" spans="2:5" x14ac:dyDescent="0.25">
      <c r="B26" s="8" t="s">
        <v>45</v>
      </c>
      <c r="C26" s="17">
        <f>Założenia!C5</f>
        <v>5</v>
      </c>
      <c r="D26" s="17">
        <f>Założenia!D5</f>
        <v>6</v>
      </c>
      <c r="E26" s="2" t="s">
        <v>40</v>
      </c>
    </row>
    <row r="27" spans="2:5" x14ac:dyDescent="0.25">
      <c r="B27" s="8" t="s">
        <v>46</v>
      </c>
      <c r="C27" s="18">
        <f>C25*C26</f>
        <v>110</v>
      </c>
      <c r="D27" s="18">
        <f>D25*D26</f>
        <v>231.00000000000006</v>
      </c>
      <c r="E27" s="2"/>
    </row>
    <row r="28" spans="2:5" x14ac:dyDescent="0.25">
      <c r="B28" s="8" t="s">
        <v>47</v>
      </c>
      <c r="C28" s="18">
        <f>C27*Założenia!$C$10</f>
        <v>1980</v>
      </c>
      <c r="D28" s="18">
        <f>D27*Założenia!$C$10</f>
        <v>4158.0000000000009</v>
      </c>
      <c r="E28" s="2" t="s">
        <v>48</v>
      </c>
    </row>
    <row r="29" spans="2:5" x14ac:dyDescent="0.25">
      <c r="B29" s="8" t="s">
        <v>49</v>
      </c>
      <c r="C29" s="18">
        <f>C28/(1+Założenia!$C$12)</f>
        <v>1767.8571428571427</v>
      </c>
      <c r="D29" s="18">
        <f>D28/(1+Założenia!$C$12)</f>
        <v>3712.5000000000005</v>
      </c>
      <c r="E29" s="2" t="s">
        <v>50</v>
      </c>
    </row>
    <row r="30" spans="2:5" x14ac:dyDescent="0.25">
      <c r="B30" s="8" t="s">
        <v>51</v>
      </c>
      <c r="C30" s="15">
        <f>Założenia!C6</f>
        <v>0.1</v>
      </c>
      <c r="D30" s="15">
        <f>Założenia!D6</f>
        <v>0.15</v>
      </c>
      <c r="E30" s="2" t="s">
        <v>40</v>
      </c>
    </row>
    <row r="31" spans="2:5" x14ac:dyDescent="0.25">
      <c r="B31" s="8" t="s">
        <v>52</v>
      </c>
      <c r="C31" s="18">
        <f>C29*C30</f>
        <v>176.78571428571428</v>
      </c>
      <c r="D31" s="18">
        <f>D29*D30</f>
        <v>556.875</v>
      </c>
      <c r="E31" s="2"/>
    </row>
    <row r="32" spans="2:5" x14ac:dyDescent="0.25">
      <c r="B32" s="8" t="s">
        <v>53</v>
      </c>
      <c r="C32" s="18">
        <f>Założenia!$C$13*$C$7</f>
        <v>150</v>
      </c>
      <c r="D32" s="18">
        <f>Założenia!$C$13*$C$7</f>
        <v>150</v>
      </c>
      <c r="E32" s="2" t="s">
        <v>54</v>
      </c>
    </row>
    <row r="33" spans="2:5" x14ac:dyDescent="0.25">
      <c r="B33" s="19" t="s">
        <v>55</v>
      </c>
      <c r="C33" s="20">
        <f>ROUND(MAX(C31,C32)/Założenia!$C$20,0)*Założenia!$C$20</f>
        <v>180</v>
      </c>
      <c r="D33" s="20">
        <f>ROUND(MAX(D31,D32,C33)/Założenia!$C$20,0)*Założenia!$C$20</f>
        <v>560</v>
      </c>
      <c r="E33" s="2" t="s">
        <v>56</v>
      </c>
    </row>
    <row r="36" spans="2:5" x14ac:dyDescent="0.25">
      <c r="B36" s="21" t="s">
        <v>57</v>
      </c>
    </row>
    <row r="37" spans="2:5" x14ac:dyDescent="0.25">
      <c r="B37" s="22" t="s">
        <v>58</v>
      </c>
      <c r="C37" s="23" t="s">
        <v>59</v>
      </c>
    </row>
    <row r="38" spans="2:5" x14ac:dyDescent="0.25">
      <c r="B38" s="24" t="s">
        <v>60</v>
      </c>
      <c r="C38" s="23" t="s">
        <v>61</v>
      </c>
    </row>
    <row r="39" spans="2:5" x14ac:dyDescent="0.25">
      <c r="B39" s="25" t="s">
        <v>62</v>
      </c>
      <c r="C39" s="23" t="s">
        <v>63</v>
      </c>
    </row>
    <row r="40" spans="2:5" x14ac:dyDescent="0.25">
      <c r="B40" s="25" t="s">
        <v>64</v>
      </c>
      <c r="C40" s="23" t="s">
        <v>65</v>
      </c>
    </row>
    <row r="41" spans="2:5" x14ac:dyDescent="0.25">
      <c r="B41" s="25" t="s">
        <v>66</v>
      </c>
      <c r="C41" s="23" t="s">
        <v>67</v>
      </c>
    </row>
    <row r="42" spans="2:5" x14ac:dyDescent="0.25">
      <c r="B42" s="25" t="s">
        <v>68</v>
      </c>
      <c r="C42" s="23" t="s">
        <v>69</v>
      </c>
    </row>
    <row r="43" spans="2:5" x14ac:dyDescent="0.25">
      <c r="B43" s="25" t="s">
        <v>70</v>
      </c>
      <c r="C43" s="23" t="s">
        <v>71</v>
      </c>
    </row>
  </sheetData>
  <mergeCells count="3">
    <mergeCell ref="C17:D17"/>
    <mergeCell ref="C11:D11"/>
    <mergeCell ref="C16:D16"/>
  </mergeCells>
  <conditionalFormatting sqref="E17">
    <cfRule type="expression" dxfId="3" priority="1">
      <formula>$C$7&lt;$C$17</formula>
    </cfRule>
    <cfRule type="expression" dxfId="2" priority="2">
      <formula>$C$7&gt;=$C$17</formula>
    </cfRule>
  </conditionalFormatting>
  <conditionalFormatting sqref="E18">
    <cfRule type="expression" dxfId="1" priority="3">
      <formula>LEFT($E$18,2)&lt;&gt;"OK"</formula>
    </cfRule>
    <cfRule type="expression" dxfId="0" priority="4">
      <formula>LEFT($E$18,2)="OK"</formula>
    </cfRule>
  </conditionalFormatting>
  <dataValidations count="2">
    <dataValidation type="whole" showErrorMessage="1" errorTitle="Błędna wartość" error="Podaj liczbę całkowitą uczniów (1–10 000)." sqref="C5" xr:uid="{00000000-0002-0000-0000-000000000000}">
      <formula1>1</formula1>
      <formula2>10000</formula2>
    </dataValidation>
    <dataValidation type="whole" showErrorMessage="1" error="Podaj liczbę automatów (1–20)." sqref="C7" xr:uid="{00000000-0002-0000-0000-000002000000}">
      <formula1>1</formula1>
      <formula2>20</formula2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xr:uid="{00000000-0002-0000-0000-000001000000}">
          <x14:formula1>
            <xm:f>Założenia!$B$23:$B$28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8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44" customWidth="1"/>
    <col min="3" max="4" width="18" customWidth="1"/>
    <col min="5" max="5" width="11" customWidth="1"/>
    <col min="6" max="6" width="90" customWidth="1"/>
  </cols>
  <sheetData>
    <row r="1" spans="2:6" ht="18" x14ac:dyDescent="0.25">
      <c r="B1" s="26" t="s">
        <v>72</v>
      </c>
    </row>
    <row r="2" spans="2:6" x14ac:dyDescent="0.25">
      <c r="B2" s="2" t="s">
        <v>73</v>
      </c>
    </row>
    <row r="3" spans="2:6" ht="38.25" x14ac:dyDescent="0.25">
      <c r="B3" s="3" t="s">
        <v>74</v>
      </c>
      <c r="C3" s="3" t="s">
        <v>75</v>
      </c>
      <c r="D3" s="3" t="s">
        <v>76</v>
      </c>
      <c r="E3" s="3" t="s">
        <v>77</v>
      </c>
      <c r="F3" s="3" t="s">
        <v>78</v>
      </c>
    </row>
    <row r="4" spans="2:6" ht="60" x14ac:dyDescent="0.25">
      <c r="B4" s="27" t="s">
        <v>79</v>
      </c>
      <c r="C4" s="28">
        <v>0.04</v>
      </c>
      <c r="D4" s="28">
        <v>7.0000000000000007E-2</v>
      </c>
      <c r="E4" s="27" t="s">
        <v>80</v>
      </c>
      <c r="F4" s="27" t="s">
        <v>81</v>
      </c>
    </row>
    <row r="5" spans="2:6" x14ac:dyDescent="0.25">
      <c r="B5" s="27" t="s">
        <v>45</v>
      </c>
      <c r="C5" s="29">
        <v>5</v>
      </c>
      <c r="D5" s="29">
        <v>6</v>
      </c>
      <c r="E5" s="27" t="s">
        <v>82</v>
      </c>
      <c r="F5" s="27" t="s">
        <v>83</v>
      </c>
    </row>
    <row r="6" spans="2:6" ht="30" x14ac:dyDescent="0.25">
      <c r="B6" s="27" t="s">
        <v>84</v>
      </c>
      <c r="C6" s="28">
        <v>0.1</v>
      </c>
      <c r="D6" s="28">
        <v>0.15</v>
      </c>
      <c r="E6" s="27" t="s">
        <v>80</v>
      </c>
      <c r="F6" s="27" t="s">
        <v>85</v>
      </c>
    </row>
    <row r="7" spans="2:6" x14ac:dyDescent="0.25">
      <c r="B7" s="30"/>
      <c r="C7" s="31"/>
      <c r="D7" s="31"/>
      <c r="E7" s="30"/>
      <c r="F7" s="30"/>
    </row>
    <row r="8" spans="2:6" x14ac:dyDescent="0.25">
      <c r="B8" s="32" t="s">
        <v>86</v>
      </c>
      <c r="C8" s="3" t="s">
        <v>3</v>
      </c>
      <c r="D8" s="3"/>
      <c r="E8" s="32" t="s">
        <v>77</v>
      </c>
      <c r="F8" s="32" t="s">
        <v>78</v>
      </c>
    </row>
    <row r="9" spans="2:6" ht="30" x14ac:dyDescent="0.25">
      <c r="B9" s="27" t="s">
        <v>87</v>
      </c>
      <c r="C9" s="28">
        <v>0.1</v>
      </c>
      <c r="D9" s="31"/>
      <c r="E9" s="27" t="s">
        <v>80</v>
      </c>
      <c r="F9" s="27" t="s">
        <v>88</v>
      </c>
    </row>
    <row r="10" spans="2:6" ht="30" x14ac:dyDescent="0.25">
      <c r="B10" s="27" t="s">
        <v>89</v>
      </c>
      <c r="C10" s="33">
        <v>18</v>
      </c>
      <c r="D10" s="31"/>
      <c r="E10" s="27" t="s">
        <v>90</v>
      </c>
      <c r="F10" s="27" t="s">
        <v>91</v>
      </c>
    </row>
    <row r="11" spans="2:6" x14ac:dyDescent="0.25">
      <c r="B11" s="27" t="s">
        <v>92</v>
      </c>
      <c r="C11" s="33">
        <v>10</v>
      </c>
      <c r="D11" s="31"/>
      <c r="E11" s="27" t="s">
        <v>93</v>
      </c>
      <c r="F11" s="27" t="s">
        <v>94</v>
      </c>
    </row>
    <row r="12" spans="2:6" ht="30" x14ac:dyDescent="0.25">
      <c r="B12" s="27" t="s">
        <v>95</v>
      </c>
      <c r="C12" s="28">
        <v>0.12</v>
      </c>
      <c r="D12" s="31"/>
      <c r="E12" s="27" t="s">
        <v>80</v>
      </c>
      <c r="F12" s="27" t="s">
        <v>96</v>
      </c>
    </row>
    <row r="13" spans="2:6" ht="30" x14ac:dyDescent="0.25">
      <c r="B13" s="27" t="s">
        <v>97</v>
      </c>
      <c r="C13" s="34">
        <v>150</v>
      </c>
      <c r="D13" s="31"/>
      <c r="E13" s="27" t="s">
        <v>98</v>
      </c>
      <c r="F13" s="27" t="s">
        <v>99</v>
      </c>
    </row>
    <row r="14" spans="2:6" x14ac:dyDescent="0.25">
      <c r="B14" s="27" t="s">
        <v>100</v>
      </c>
      <c r="C14" s="33">
        <v>120</v>
      </c>
      <c r="D14" s="31"/>
      <c r="E14" s="27" t="s">
        <v>101</v>
      </c>
      <c r="F14" s="27" t="s">
        <v>102</v>
      </c>
    </row>
    <row r="15" spans="2:6" x14ac:dyDescent="0.25">
      <c r="B15" s="27" t="s">
        <v>103</v>
      </c>
      <c r="C15" s="35">
        <v>1</v>
      </c>
      <c r="D15" s="31"/>
      <c r="E15" s="27" t="s">
        <v>104</v>
      </c>
      <c r="F15" s="27" t="s">
        <v>105</v>
      </c>
    </row>
    <row r="16" spans="2:6" ht="30" x14ac:dyDescent="0.25">
      <c r="B16" s="27" t="s">
        <v>106</v>
      </c>
      <c r="C16" s="33">
        <v>200</v>
      </c>
      <c r="D16" s="31"/>
      <c r="E16" s="27" t="s">
        <v>107</v>
      </c>
      <c r="F16" s="27" t="s">
        <v>108</v>
      </c>
    </row>
    <row r="17" spans="2:6" ht="30" x14ac:dyDescent="0.25">
      <c r="B17" s="27" t="s">
        <v>109</v>
      </c>
      <c r="C17" s="29">
        <v>1</v>
      </c>
      <c r="D17" s="31"/>
      <c r="E17" s="27" t="s">
        <v>110</v>
      </c>
      <c r="F17" s="27" t="s">
        <v>111</v>
      </c>
    </row>
    <row r="18" spans="2:6" ht="30" x14ac:dyDescent="0.25">
      <c r="B18" s="27" t="s">
        <v>112</v>
      </c>
      <c r="C18" s="28">
        <v>0.4</v>
      </c>
      <c r="D18" s="31"/>
      <c r="E18" s="27" t="s">
        <v>80</v>
      </c>
      <c r="F18" s="27" t="s">
        <v>113</v>
      </c>
    </row>
    <row r="19" spans="2:6" x14ac:dyDescent="0.25">
      <c r="B19" s="27" t="s">
        <v>114</v>
      </c>
      <c r="C19" s="28">
        <v>0.4</v>
      </c>
      <c r="D19" s="31"/>
      <c r="E19" s="27" t="s">
        <v>80</v>
      </c>
      <c r="F19" s="27" t="s">
        <v>115</v>
      </c>
    </row>
    <row r="20" spans="2:6" x14ac:dyDescent="0.25">
      <c r="B20" s="27" t="s">
        <v>116</v>
      </c>
      <c r="C20" s="34">
        <v>10</v>
      </c>
      <c r="D20" s="31"/>
      <c r="E20" s="27" t="s">
        <v>82</v>
      </c>
      <c r="F20" s="27" t="s">
        <v>117</v>
      </c>
    </row>
    <row r="21" spans="2:6" x14ac:dyDescent="0.25">
      <c r="B21" s="30"/>
      <c r="C21" s="31"/>
      <c r="D21" s="31"/>
      <c r="E21" s="30"/>
      <c r="F21" s="30"/>
    </row>
    <row r="22" spans="2:6" ht="25.5" x14ac:dyDescent="0.25">
      <c r="B22" s="32" t="s">
        <v>7</v>
      </c>
      <c r="C22" s="3" t="s">
        <v>118</v>
      </c>
      <c r="D22" s="3"/>
      <c r="E22" s="32"/>
      <c r="F22" s="32" t="s">
        <v>119</v>
      </c>
    </row>
    <row r="23" spans="2:6" x14ac:dyDescent="0.25">
      <c r="B23" s="27" t="s">
        <v>120</v>
      </c>
      <c r="C23" s="36">
        <v>0.7</v>
      </c>
      <c r="D23" s="31"/>
      <c r="E23" s="30"/>
      <c r="F23" s="27" t="s">
        <v>121</v>
      </c>
    </row>
    <row r="24" spans="2:6" x14ac:dyDescent="0.25">
      <c r="B24" s="27" t="s">
        <v>8</v>
      </c>
      <c r="C24" s="36">
        <v>1</v>
      </c>
      <c r="D24" s="31"/>
      <c r="E24" s="30"/>
      <c r="F24" s="27" t="s">
        <v>122</v>
      </c>
    </row>
    <row r="25" spans="2:6" x14ac:dyDescent="0.25">
      <c r="B25" s="27" t="s">
        <v>123</v>
      </c>
      <c r="C25" s="36">
        <v>1.05</v>
      </c>
      <c r="D25" s="31"/>
      <c r="E25" s="30"/>
      <c r="F25" s="27" t="s">
        <v>124</v>
      </c>
    </row>
    <row r="26" spans="2:6" x14ac:dyDescent="0.25">
      <c r="B26" s="27" t="s">
        <v>125</v>
      </c>
      <c r="C26" s="36">
        <v>0.95</v>
      </c>
      <c r="D26" s="31"/>
      <c r="E26" s="30"/>
      <c r="F26" s="27" t="s">
        <v>126</v>
      </c>
    </row>
    <row r="27" spans="2:6" x14ac:dyDescent="0.25">
      <c r="B27" s="27" t="s">
        <v>127</v>
      </c>
      <c r="C27" s="36">
        <v>0.95</v>
      </c>
      <c r="D27" s="31"/>
      <c r="E27" s="30"/>
      <c r="F27" s="27" t="s">
        <v>128</v>
      </c>
    </row>
    <row r="28" spans="2:6" x14ac:dyDescent="0.25">
      <c r="B28" s="27" t="s">
        <v>129</v>
      </c>
      <c r="C28" s="36">
        <v>1.1000000000000001</v>
      </c>
      <c r="D28" s="31"/>
      <c r="E28" s="30"/>
      <c r="F28" s="27" t="s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7" width="16" customWidth="1"/>
  </cols>
  <sheetData>
    <row r="1" spans="1:7" ht="18" x14ac:dyDescent="0.25">
      <c r="A1" s="26" t="s">
        <v>131</v>
      </c>
    </row>
    <row r="2" spans="1:7" x14ac:dyDescent="0.25">
      <c r="A2" s="23" t="s">
        <v>132</v>
      </c>
      <c r="C2" s="37" t="str">
        <f>Kalkulator!C6</f>
        <v>Liceum ogólnokształcące</v>
      </c>
      <c r="E2" s="23" t="s">
        <v>133</v>
      </c>
      <c r="F2" s="38">
        <f>IFERROR(INDEX(Założenia!$C$23:$C$28,MATCH(C2,Założenia!$B$23:$B$28,0)),1)</f>
        <v>1</v>
      </c>
    </row>
    <row r="3" spans="1:7" x14ac:dyDescent="0.25">
      <c r="A3" s="2" t="s">
        <v>134</v>
      </c>
    </row>
    <row r="5" spans="1:7" ht="32.1" customHeight="1" x14ac:dyDescent="0.25">
      <c r="A5" s="3" t="s">
        <v>135</v>
      </c>
      <c r="B5" s="3" t="s">
        <v>29</v>
      </c>
      <c r="C5" s="3" t="s">
        <v>136</v>
      </c>
      <c r="D5" s="3" t="s">
        <v>137</v>
      </c>
      <c r="E5" s="3" t="s">
        <v>138</v>
      </c>
      <c r="F5" s="3" t="s">
        <v>139</v>
      </c>
      <c r="G5" s="3" t="s">
        <v>140</v>
      </c>
    </row>
    <row r="6" spans="1:7" x14ac:dyDescent="0.25">
      <c r="A6" s="39">
        <v>50</v>
      </c>
      <c r="B6" s="40">
        <f>MAX(1,ROUNDUP(A6*(1+Założenia!$C$9)*$F$2*Założenia!$D$4/Założenia!$C$14,0))</f>
        <v>1</v>
      </c>
      <c r="C6" s="41">
        <f>ROUND(MAX(MIN(A6*(1+Założenia!$C$9)*$F$2*Założenia!$C$4,B6*Założenia!$C$14)*Założenia!$C$5*Założenia!$C$10/(1+Założenia!$C$12)*Założenia!$C$6,Założenia!$C$13*B6)/Założenia!$C$20,0)*Założenia!$C$20</f>
        <v>150</v>
      </c>
      <c r="D6" s="41">
        <f>ROUND(MAX(MIN(A6*(1+Założenia!$C$9)*$F$2*Założenia!$D$4,B6*Założenia!$C$14)*Założenia!$D$5*Założenia!$C$10/(1+Założenia!$C$12)*Założenia!$D$6,Założenia!$C$13*B6)/Założenia!$C$20,0)*Założenia!$C$20</f>
        <v>150</v>
      </c>
      <c r="E6" s="42">
        <f>ROUND(AVERAGE(C6:D6)/Założenia!$C$20,0)*Założenia!$C$20</f>
        <v>150</v>
      </c>
      <c r="F6" s="41">
        <f t="shared" ref="F6:F21" si="0">C6/B6</f>
        <v>150</v>
      </c>
      <c r="G6" s="41">
        <f t="shared" ref="G6:G21" si="1">D6/B6</f>
        <v>150</v>
      </c>
    </row>
    <row r="7" spans="1:7" x14ac:dyDescent="0.25">
      <c r="A7" s="43">
        <v>100</v>
      </c>
      <c r="B7" s="44">
        <f>MAX(1,ROUNDUP(A7*(1+Założenia!$C$9)*$F$2*Założenia!$D$4/Założenia!$C$14,0))</f>
        <v>1</v>
      </c>
      <c r="C7" s="45">
        <f>ROUND(MAX(MIN(A7*(1+Założenia!$C$9)*$F$2*Założenia!$C$4,B7*Założenia!$C$14)*Założenia!$C$5*Założenia!$C$10/(1+Założenia!$C$12)*Założenia!$C$6,Założenia!$C$13*B7)/Założenia!$C$20,0)*Założenia!$C$20</f>
        <v>150</v>
      </c>
      <c r="D7" s="45">
        <f>ROUND(MAX(MIN(A7*(1+Założenia!$C$9)*$F$2*Założenia!$D$4,B7*Założenia!$C$14)*Założenia!$D$5*Założenia!$C$10/(1+Założenia!$C$12)*Założenia!$D$6,Założenia!$C$13*B7)/Założenia!$C$20,0)*Założenia!$C$20</f>
        <v>150</v>
      </c>
      <c r="E7" s="46">
        <f>ROUND(AVERAGE(C7:D7)/Założenia!$C$20,0)*Założenia!$C$20</f>
        <v>150</v>
      </c>
      <c r="F7" s="45">
        <f t="shared" si="0"/>
        <v>150</v>
      </c>
      <c r="G7" s="45">
        <f t="shared" si="1"/>
        <v>150</v>
      </c>
    </row>
    <row r="8" spans="1:7" x14ac:dyDescent="0.25">
      <c r="A8" s="39">
        <v>150</v>
      </c>
      <c r="B8" s="40">
        <f>MAX(1,ROUNDUP(A8*(1+Założenia!$C$9)*$F$2*Założenia!$D$4/Założenia!$C$14,0))</f>
        <v>1</v>
      </c>
      <c r="C8" s="41">
        <f>ROUND(MAX(MIN(A8*(1+Założenia!$C$9)*$F$2*Założenia!$C$4,B8*Założenia!$C$14)*Założenia!$C$5*Założenia!$C$10/(1+Założenia!$C$12)*Założenia!$C$6,Założenia!$C$13*B8)/Założenia!$C$20,0)*Założenia!$C$20</f>
        <v>150</v>
      </c>
      <c r="D8" s="41">
        <f>ROUND(MAX(MIN(A8*(1+Założenia!$C$9)*$F$2*Założenia!$D$4,B8*Założenia!$C$14)*Założenia!$D$5*Założenia!$C$10/(1+Założenia!$C$12)*Założenia!$D$6,Założenia!$C$13*B8)/Założenia!$C$20,0)*Założenia!$C$20</f>
        <v>170</v>
      </c>
      <c r="E8" s="42">
        <f>ROUND(AVERAGE(C8:D8)/Założenia!$C$20,0)*Założenia!$C$20</f>
        <v>160</v>
      </c>
      <c r="F8" s="41">
        <f t="shared" si="0"/>
        <v>150</v>
      </c>
      <c r="G8" s="41">
        <f t="shared" si="1"/>
        <v>170</v>
      </c>
    </row>
    <row r="9" spans="1:7" x14ac:dyDescent="0.25">
      <c r="A9" s="43">
        <v>200</v>
      </c>
      <c r="B9" s="44">
        <f>MAX(1,ROUNDUP(A9*(1+Założenia!$C$9)*$F$2*Założenia!$D$4/Założenia!$C$14,0))</f>
        <v>1</v>
      </c>
      <c r="C9" s="45">
        <f>ROUND(MAX(MIN(A9*(1+Założenia!$C$9)*$F$2*Założenia!$C$4,B9*Założenia!$C$14)*Założenia!$C$5*Założenia!$C$10/(1+Założenia!$C$12)*Założenia!$C$6,Założenia!$C$13*B9)/Założenia!$C$20,0)*Założenia!$C$20</f>
        <v>150</v>
      </c>
      <c r="D9" s="45">
        <f>ROUND(MAX(MIN(A9*(1+Założenia!$C$9)*$F$2*Założenia!$D$4,B9*Założenia!$C$14)*Założenia!$D$5*Założenia!$C$10/(1+Założenia!$C$12)*Założenia!$D$6,Założenia!$C$13*B9)/Założenia!$C$20,0)*Założenia!$C$20</f>
        <v>220</v>
      </c>
      <c r="E9" s="46">
        <f>ROUND(AVERAGE(C9:D9)/Założenia!$C$20,0)*Założenia!$C$20</f>
        <v>190</v>
      </c>
      <c r="F9" s="45">
        <f t="shared" si="0"/>
        <v>150</v>
      </c>
      <c r="G9" s="45">
        <f t="shared" si="1"/>
        <v>220</v>
      </c>
    </row>
    <row r="10" spans="1:7" x14ac:dyDescent="0.25">
      <c r="A10" s="39">
        <v>250</v>
      </c>
      <c r="B10" s="40">
        <f>MAX(1,ROUNDUP(A10*(1+Założenia!$C$9)*$F$2*Założenia!$D$4/Założenia!$C$14,0))</f>
        <v>1</v>
      </c>
      <c r="C10" s="41">
        <f>ROUND(MAX(MIN(A10*(1+Założenia!$C$9)*$F$2*Założenia!$C$4,B10*Założenia!$C$14)*Założenia!$C$5*Założenia!$C$10/(1+Założenia!$C$12)*Założenia!$C$6,Założenia!$C$13*B10)/Założenia!$C$20,0)*Założenia!$C$20</f>
        <v>150</v>
      </c>
      <c r="D10" s="41">
        <f>ROUND(MAX(MIN(A10*(1+Założenia!$C$9)*$F$2*Założenia!$D$4,B10*Założenia!$C$14)*Założenia!$D$5*Założenia!$C$10/(1+Założenia!$C$12)*Założenia!$D$6,Założenia!$C$13*B10)/Założenia!$C$20,0)*Założenia!$C$20</f>
        <v>280</v>
      </c>
      <c r="E10" s="42">
        <f>ROUND(AVERAGE(C10:D10)/Założenia!$C$20,0)*Założenia!$C$20</f>
        <v>220</v>
      </c>
      <c r="F10" s="41">
        <f t="shared" si="0"/>
        <v>150</v>
      </c>
      <c r="G10" s="41">
        <f t="shared" si="1"/>
        <v>280</v>
      </c>
    </row>
    <row r="11" spans="1:7" x14ac:dyDescent="0.25">
      <c r="A11" s="43">
        <v>300</v>
      </c>
      <c r="B11" s="44">
        <f>MAX(1,ROUNDUP(A11*(1+Założenia!$C$9)*$F$2*Założenia!$D$4/Założenia!$C$14,0))</f>
        <v>1</v>
      </c>
      <c r="C11" s="45">
        <f>ROUND(MAX(MIN(A11*(1+Założenia!$C$9)*$F$2*Założenia!$C$4,B11*Założenia!$C$14)*Założenia!$C$5*Założenia!$C$10/(1+Założenia!$C$12)*Założenia!$C$6,Założenia!$C$13*B11)/Założenia!$C$20,0)*Założenia!$C$20</f>
        <v>150</v>
      </c>
      <c r="D11" s="45">
        <f>ROUND(MAX(MIN(A11*(1+Założenia!$C$9)*$F$2*Założenia!$D$4,B11*Założenia!$C$14)*Założenia!$D$5*Założenia!$C$10/(1+Założenia!$C$12)*Założenia!$D$6,Założenia!$C$13*B11)/Założenia!$C$20,0)*Założenia!$C$20</f>
        <v>330</v>
      </c>
      <c r="E11" s="46">
        <f>ROUND(AVERAGE(C11:D11)/Założenia!$C$20,0)*Założenia!$C$20</f>
        <v>240</v>
      </c>
      <c r="F11" s="45">
        <f t="shared" si="0"/>
        <v>150</v>
      </c>
      <c r="G11" s="45">
        <f t="shared" si="1"/>
        <v>330</v>
      </c>
    </row>
    <row r="12" spans="1:7" x14ac:dyDescent="0.25">
      <c r="A12" s="39">
        <v>400</v>
      </c>
      <c r="B12" s="40">
        <f>MAX(1,ROUNDUP(A12*(1+Założenia!$C$9)*$F$2*Założenia!$D$4/Założenia!$C$14,0))</f>
        <v>1</v>
      </c>
      <c r="C12" s="41">
        <f>ROUND(MAX(MIN(A12*(1+Założenia!$C$9)*$F$2*Założenia!$C$4,B12*Założenia!$C$14)*Założenia!$C$5*Założenia!$C$10/(1+Założenia!$C$12)*Założenia!$C$6,Założenia!$C$13*B12)/Założenia!$C$20,0)*Założenia!$C$20</f>
        <v>150</v>
      </c>
      <c r="D12" s="41">
        <f>ROUND(MAX(MIN(A12*(1+Założenia!$C$9)*$F$2*Założenia!$D$4,B12*Założenia!$C$14)*Założenia!$D$5*Założenia!$C$10/(1+Założenia!$C$12)*Założenia!$D$6,Założenia!$C$13*B12)/Założenia!$C$20,0)*Założenia!$C$20</f>
        <v>450</v>
      </c>
      <c r="E12" s="42">
        <f>ROUND(AVERAGE(C12:D12)/Założenia!$C$20,0)*Założenia!$C$20</f>
        <v>300</v>
      </c>
      <c r="F12" s="41">
        <f t="shared" si="0"/>
        <v>150</v>
      </c>
      <c r="G12" s="41">
        <f t="shared" si="1"/>
        <v>450</v>
      </c>
    </row>
    <row r="13" spans="1:7" x14ac:dyDescent="0.25">
      <c r="A13" s="43">
        <v>500</v>
      </c>
      <c r="B13" s="44">
        <f>MAX(1,ROUNDUP(A13*(1+Założenia!$C$9)*$F$2*Założenia!$D$4/Założenia!$C$14,0))</f>
        <v>1</v>
      </c>
      <c r="C13" s="45">
        <f>ROUND(MAX(MIN(A13*(1+Założenia!$C$9)*$F$2*Założenia!$C$4,B13*Założenia!$C$14)*Założenia!$C$5*Założenia!$C$10/(1+Założenia!$C$12)*Założenia!$C$6,Założenia!$C$13*B13)/Założenia!$C$20,0)*Założenia!$C$20</f>
        <v>180</v>
      </c>
      <c r="D13" s="45">
        <f>ROUND(MAX(MIN(A13*(1+Założenia!$C$9)*$F$2*Założenia!$D$4,B13*Założenia!$C$14)*Założenia!$D$5*Założenia!$C$10/(1+Założenia!$C$12)*Założenia!$D$6,Założenia!$C$13*B13)/Założenia!$C$20,0)*Założenia!$C$20</f>
        <v>560</v>
      </c>
      <c r="E13" s="46">
        <f>ROUND(AVERAGE(C13:D13)/Założenia!$C$20,0)*Założenia!$C$20</f>
        <v>370</v>
      </c>
      <c r="F13" s="45">
        <f t="shared" si="0"/>
        <v>180</v>
      </c>
      <c r="G13" s="45">
        <f t="shared" si="1"/>
        <v>560</v>
      </c>
    </row>
    <row r="14" spans="1:7" x14ac:dyDescent="0.25">
      <c r="A14" s="39">
        <v>600</v>
      </c>
      <c r="B14" s="40">
        <f>MAX(1,ROUNDUP(A14*(1+Założenia!$C$9)*$F$2*Założenia!$D$4/Założenia!$C$14,0))</f>
        <v>1</v>
      </c>
      <c r="C14" s="41">
        <f>ROUND(MAX(MIN(A14*(1+Założenia!$C$9)*$F$2*Założenia!$C$4,B14*Założenia!$C$14)*Założenia!$C$5*Założenia!$C$10/(1+Założenia!$C$12)*Założenia!$C$6,Założenia!$C$13*B14)/Założenia!$C$20,0)*Założenia!$C$20</f>
        <v>210</v>
      </c>
      <c r="D14" s="41">
        <f>ROUND(MAX(MIN(A14*(1+Założenia!$C$9)*$F$2*Założenia!$D$4,B14*Założenia!$C$14)*Założenia!$D$5*Założenia!$C$10/(1+Założenia!$C$12)*Założenia!$D$6,Założenia!$C$13*B14)/Założenia!$C$20,0)*Założenia!$C$20</f>
        <v>670</v>
      </c>
      <c r="E14" s="42">
        <f>ROUND(AVERAGE(C14:D14)/Założenia!$C$20,0)*Założenia!$C$20</f>
        <v>440</v>
      </c>
      <c r="F14" s="41">
        <f t="shared" si="0"/>
        <v>210</v>
      </c>
      <c r="G14" s="41">
        <f t="shared" si="1"/>
        <v>670</v>
      </c>
    </row>
    <row r="15" spans="1:7" x14ac:dyDescent="0.25">
      <c r="A15" s="43">
        <v>700</v>
      </c>
      <c r="B15" s="44">
        <f>MAX(1,ROUNDUP(A15*(1+Założenia!$C$9)*$F$2*Założenia!$D$4/Założenia!$C$14,0))</f>
        <v>1</v>
      </c>
      <c r="C15" s="45">
        <f>ROUND(MAX(MIN(A15*(1+Założenia!$C$9)*$F$2*Założenia!$C$4,B15*Założenia!$C$14)*Założenia!$C$5*Założenia!$C$10/(1+Założenia!$C$12)*Założenia!$C$6,Założenia!$C$13*B15)/Założenia!$C$20,0)*Założenia!$C$20</f>
        <v>250</v>
      </c>
      <c r="D15" s="45">
        <f>ROUND(MAX(MIN(A15*(1+Założenia!$C$9)*$F$2*Założenia!$D$4,B15*Założenia!$C$14)*Założenia!$D$5*Założenia!$C$10/(1+Założenia!$C$12)*Założenia!$D$6,Założenia!$C$13*B15)/Założenia!$C$20,0)*Założenia!$C$20</f>
        <v>780</v>
      </c>
      <c r="E15" s="46">
        <f>ROUND(AVERAGE(C15:D15)/Założenia!$C$20,0)*Założenia!$C$20</f>
        <v>520</v>
      </c>
      <c r="F15" s="45">
        <f t="shared" si="0"/>
        <v>250</v>
      </c>
      <c r="G15" s="45">
        <f t="shared" si="1"/>
        <v>780</v>
      </c>
    </row>
    <row r="16" spans="1:7" x14ac:dyDescent="0.25">
      <c r="A16" s="39">
        <v>800</v>
      </c>
      <c r="B16" s="40">
        <f>MAX(1,ROUNDUP(A16*(1+Założenia!$C$9)*$F$2*Założenia!$D$4/Założenia!$C$14,0))</f>
        <v>1</v>
      </c>
      <c r="C16" s="41">
        <f>ROUND(MAX(MIN(A16*(1+Założenia!$C$9)*$F$2*Założenia!$C$4,B16*Założenia!$C$14)*Założenia!$C$5*Założenia!$C$10/(1+Założenia!$C$12)*Założenia!$C$6,Założenia!$C$13*B16)/Założenia!$C$20,0)*Założenia!$C$20</f>
        <v>280</v>
      </c>
      <c r="D16" s="41">
        <f>ROUND(MAX(MIN(A16*(1+Założenia!$C$9)*$F$2*Założenia!$D$4,B16*Założenia!$C$14)*Założenia!$D$5*Założenia!$C$10/(1+Założenia!$C$12)*Założenia!$D$6,Założenia!$C$13*B16)/Założenia!$C$20,0)*Założenia!$C$20</f>
        <v>890</v>
      </c>
      <c r="E16" s="42">
        <f>ROUND(AVERAGE(C16:D16)/Założenia!$C$20,0)*Założenia!$C$20</f>
        <v>590</v>
      </c>
      <c r="F16" s="41">
        <f t="shared" si="0"/>
        <v>280</v>
      </c>
      <c r="G16" s="41">
        <f t="shared" si="1"/>
        <v>890</v>
      </c>
    </row>
    <row r="17" spans="1:7" x14ac:dyDescent="0.25">
      <c r="A17" s="43">
        <v>900</v>
      </c>
      <c r="B17" s="44">
        <f>MAX(1,ROUNDUP(A17*(1+Założenia!$C$9)*$F$2*Założenia!$D$4/Założenia!$C$14,0))</f>
        <v>1</v>
      </c>
      <c r="C17" s="45">
        <f>ROUND(MAX(MIN(A17*(1+Założenia!$C$9)*$F$2*Założenia!$C$4,B17*Założenia!$C$14)*Założenia!$C$5*Założenia!$C$10/(1+Założenia!$C$12)*Założenia!$C$6,Założenia!$C$13*B17)/Założenia!$C$20,0)*Założenia!$C$20</f>
        <v>320</v>
      </c>
      <c r="D17" s="45">
        <f>ROUND(MAX(MIN(A17*(1+Założenia!$C$9)*$F$2*Założenia!$D$4,B17*Założenia!$C$14)*Założenia!$D$5*Założenia!$C$10/(1+Założenia!$C$12)*Założenia!$D$6,Założenia!$C$13*B17)/Założenia!$C$20,0)*Założenia!$C$20</f>
        <v>1000</v>
      </c>
      <c r="E17" s="46">
        <f>ROUND(AVERAGE(C17:D17)/Założenia!$C$20,0)*Założenia!$C$20</f>
        <v>660</v>
      </c>
      <c r="F17" s="45">
        <f t="shared" si="0"/>
        <v>320</v>
      </c>
      <c r="G17" s="45">
        <f t="shared" si="1"/>
        <v>1000</v>
      </c>
    </row>
    <row r="18" spans="1:7" x14ac:dyDescent="0.25">
      <c r="A18" s="39">
        <v>1000</v>
      </c>
      <c r="B18" s="40">
        <f>MAX(1,ROUNDUP(A18*(1+Założenia!$C$9)*$F$2*Założenia!$D$4/Założenia!$C$14,0))</f>
        <v>1</v>
      </c>
      <c r="C18" s="41">
        <f>ROUND(MAX(MIN(A18*(1+Założenia!$C$9)*$F$2*Założenia!$C$4,B18*Założenia!$C$14)*Założenia!$C$5*Założenia!$C$10/(1+Założenia!$C$12)*Założenia!$C$6,Założenia!$C$13*B18)/Założenia!$C$20,0)*Założenia!$C$20</f>
        <v>350</v>
      </c>
      <c r="D18" s="41">
        <f>ROUND(MAX(MIN(A18*(1+Założenia!$C$9)*$F$2*Założenia!$D$4,B18*Założenia!$C$14)*Założenia!$D$5*Założenia!$C$10/(1+Założenia!$C$12)*Założenia!$D$6,Założenia!$C$13*B18)/Założenia!$C$20,0)*Założenia!$C$20</f>
        <v>1110</v>
      </c>
      <c r="E18" s="42">
        <f>ROUND(AVERAGE(C18:D18)/Założenia!$C$20,0)*Założenia!$C$20</f>
        <v>730</v>
      </c>
      <c r="F18" s="41">
        <f t="shared" si="0"/>
        <v>350</v>
      </c>
      <c r="G18" s="41">
        <f t="shared" si="1"/>
        <v>1110</v>
      </c>
    </row>
    <row r="19" spans="1:7" x14ac:dyDescent="0.25">
      <c r="A19" s="43">
        <v>1200</v>
      </c>
      <c r="B19" s="44">
        <f>MAX(1,ROUNDUP(A19*(1+Założenia!$C$9)*$F$2*Założenia!$D$4/Założenia!$C$14,0))</f>
        <v>1</v>
      </c>
      <c r="C19" s="45">
        <f>ROUND(MAX(MIN(A19*(1+Założenia!$C$9)*$F$2*Założenia!$C$4,B19*Założenia!$C$14)*Założenia!$C$5*Założenia!$C$10/(1+Założenia!$C$12)*Założenia!$C$6,Założenia!$C$13*B19)/Założenia!$C$20,0)*Założenia!$C$20</f>
        <v>420</v>
      </c>
      <c r="D19" s="45">
        <f>ROUND(MAX(MIN(A19*(1+Założenia!$C$9)*$F$2*Założenia!$D$4,B19*Założenia!$C$14)*Założenia!$D$5*Założenia!$C$10/(1+Założenia!$C$12)*Założenia!$D$6,Założenia!$C$13*B19)/Założenia!$C$20,0)*Założenia!$C$20</f>
        <v>1340</v>
      </c>
      <c r="E19" s="46">
        <f>ROUND(AVERAGE(C19:D19)/Założenia!$C$20,0)*Założenia!$C$20</f>
        <v>880</v>
      </c>
      <c r="F19" s="45">
        <f t="shared" si="0"/>
        <v>420</v>
      </c>
      <c r="G19" s="45">
        <f t="shared" si="1"/>
        <v>1340</v>
      </c>
    </row>
    <row r="20" spans="1:7" x14ac:dyDescent="0.25">
      <c r="A20" s="39">
        <v>1500</v>
      </c>
      <c r="B20" s="40">
        <f>MAX(1,ROUNDUP(A20*(1+Założenia!$C$9)*$F$2*Założenia!$D$4/Założenia!$C$14,0))</f>
        <v>1</v>
      </c>
      <c r="C20" s="41">
        <f>ROUND(MAX(MIN(A20*(1+Założenia!$C$9)*$F$2*Założenia!$C$4,B20*Założenia!$C$14)*Założenia!$C$5*Założenia!$C$10/(1+Założenia!$C$12)*Założenia!$C$6,Założenia!$C$13*B20)/Założenia!$C$20,0)*Założenia!$C$20</f>
        <v>530</v>
      </c>
      <c r="D20" s="41">
        <f>ROUND(MAX(MIN(A20*(1+Założenia!$C$9)*$F$2*Założenia!$D$4,B20*Założenia!$C$14)*Założenia!$D$5*Założenia!$C$10/(1+Założenia!$C$12)*Założenia!$D$6,Założenia!$C$13*B20)/Założenia!$C$20,0)*Założenia!$C$20</f>
        <v>1670</v>
      </c>
      <c r="E20" s="42">
        <f>ROUND(AVERAGE(C20:D20)/Założenia!$C$20,0)*Założenia!$C$20</f>
        <v>1100</v>
      </c>
      <c r="F20" s="41">
        <f t="shared" si="0"/>
        <v>530</v>
      </c>
      <c r="G20" s="41">
        <f t="shared" si="1"/>
        <v>1670</v>
      </c>
    </row>
    <row r="21" spans="1:7" x14ac:dyDescent="0.25">
      <c r="A21" s="43">
        <v>2000</v>
      </c>
      <c r="B21" s="44">
        <f>MAX(1,ROUNDUP(A21*(1+Założenia!$C$9)*$F$2*Założenia!$D$4/Założenia!$C$14,0))</f>
        <v>2</v>
      </c>
      <c r="C21" s="45">
        <f>ROUND(MAX(MIN(A21*(1+Założenia!$C$9)*$F$2*Założenia!$C$4,B21*Założenia!$C$14)*Założenia!$C$5*Założenia!$C$10/(1+Założenia!$C$12)*Założenia!$C$6,Założenia!$C$13*B21)/Założenia!$C$20,0)*Założenia!$C$20</f>
        <v>710</v>
      </c>
      <c r="D21" s="45">
        <f>ROUND(MAX(MIN(A21*(1+Założenia!$C$9)*$F$2*Założenia!$D$4,B21*Założenia!$C$14)*Założenia!$D$5*Założenia!$C$10/(1+Założenia!$C$12)*Założenia!$D$6,Założenia!$C$13*B21)/Założenia!$C$20,0)*Założenia!$C$20</f>
        <v>2230</v>
      </c>
      <c r="E21" s="46">
        <f>ROUND(AVERAGE(C21:D21)/Założenia!$C$20,0)*Założenia!$C$20</f>
        <v>1470</v>
      </c>
      <c r="F21" s="45">
        <f t="shared" si="0"/>
        <v>355</v>
      </c>
      <c r="G21" s="45">
        <f t="shared" si="1"/>
        <v>1115</v>
      </c>
    </row>
    <row r="23" spans="1:7" x14ac:dyDescent="0.25">
      <c r="A23" s="2" t="s">
        <v>141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6" customWidth="1"/>
    <col min="2" max="2" width="22" customWidth="1"/>
    <col min="3" max="3" width="60" customWidth="1"/>
    <col min="4" max="4" width="30" customWidth="1"/>
    <col min="5" max="5" width="13" customWidth="1"/>
    <col min="6" max="6" width="40" customWidth="1"/>
    <col min="7" max="7" width="45" customWidth="1"/>
  </cols>
  <sheetData>
    <row r="1" spans="1:7" ht="18" x14ac:dyDescent="0.25">
      <c r="A1" s="26" t="s">
        <v>142</v>
      </c>
    </row>
    <row r="2" spans="1:7" x14ac:dyDescent="0.25">
      <c r="A2" s="2" t="s">
        <v>143</v>
      </c>
    </row>
    <row r="4" spans="1:7" x14ac:dyDescent="0.25">
      <c r="A4" s="3" t="s">
        <v>144</v>
      </c>
      <c r="B4" s="3" t="s">
        <v>145</v>
      </c>
      <c r="C4" s="3" t="s">
        <v>146</v>
      </c>
      <c r="D4" s="3" t="s">
        <v>147</v>
      </c>
      <c r="E4" s="3" t="s">
        <v>148</v>
      </c>
      <c r="F4" s="3" t="s">
        <v>149</v>
      </c>
      <c r="G4" s="3" t="s">
        <v>150</v>
      </c>
    </row>
    <row r="5" spans="1:7" ht="84" x14ac:dyDescent="0.25">
      <c r="A5" s="47" t="s">
        <v>151</v>
      </c>
      <c r="B5" s="48" t="s">
        <v>152</v>
      </c>
      <c r="C5" s="48" t="s">
        <v>153</v>
      </c>
      <c r="D5" s="48" t="s">
        <v>154</v>
      </c>
      <c r="E5" s="48" t="s">
        <v>155</v>
      </c>
      <c r="F5" s="49" t="s">
        <v>156</v>
      </c>
      <c r="G5" s="48" t="s">
        <v>157</v>
      </c>
    </row>
    <row r="6" spans="1:7" ht="48" x14ac:dyDescent="0.25">
      <c r="A6" s="50" t="s">
        <v>158</v>
      </c>
      <c r="B6" s="51" t="s">
        <v>159</v>
      </c>
      <c r="C6" s="51" t="s">
        <v>160</v>
      </c>
      <c r="D6" s="51" t="s">
        <v>161</v>
      </c>
      <c r="E6" s="51" t="s">
        <v>162</v>
      </c>
      <c r="F6" s="52" t="s">
        <v>163</v>
      </c>
      <c r="G6" s="51" t="s">
        <v>164</v>
      </c>
    </row>
    <row r="7" spans="1:7" ht="60" x14ac:dyDescent="0.25">
      <c r="A7" s="47" t="s">
        <v>165</v>
      </c>
      <c r="B7" s="48" t="s">
        <v>166</v>
      </c>
      <c r="C7" s="48" t="s">
        <v>167</v>
      </c>
      <c r="D7" s="48" t="s">
        <v>168</v>
      </c>
      <c r="E7" s="48" t="s">
        <v>169</v>
      </c>
      <c r="F7" s="49" t="s">
        <v>170</v>
      </c>
      <c r="G7" s="48" t="s">
        <v>171</v>
      </c>
    </row>
    <row r="8" spans="1:7" ht="36" x14ac:dyDescent="0.25">
      <c r="A8" s="50" t="s">
        <v>172</v>
      </c>
      <c r="B8" s="51" t="s">
        <v>173</v>
      </c>
      <c r="C8" s="51" t="s">
        <v>174</v>
      </c>
      <c r="D8" s="51" t="s">
        <v>175</v>
      </c>
      <c r="E8" s="51" t="s">
        <v>176</v>
      </c>
      <c r="F8" s="52" t="s">
        <v>177</v>
      </c>
      <c r="G8" s="51" t="s">
        <v>178</v>
      </c>
    </row>
    <row r="9" spans="1:7" ht="36" x14ac:dyDescent="0.25">
      <c r="A9" s="47" t="s">
        <v>179</v>
      </c>
      <c r="B9" s="48" t="s">
        <v>180</v>
      </c>
      <c r="C9" s="48" t="s">
        <v>181</v>
      </c>
      <c r="D9" s="48" t="s">
        <v>182</v>
      </c>
      <c r="E9" s="48" t="s">
        <v>183</v>
      </c>
      <c r="F9" s="49" t="s">
        <v>184</v>
      </c>
      <c r="G9" s="48" t="s">
        <v>185</v>
      </c>
    </row>
    <row r="10" spans="1:7" ht="36" x14ac:dyDescent="0.25">
      <c r="A10" s="50" t="s">
        <v>186</v>
      </c>
      <c r="B10" s="51" t="s">
        <v>187</v>
      </c>
      <c r="C10" s="51" t="s">
        <v>188</v>
      </c>
      <c r="D10" s="51" t="s">
        <v>189</v>
      </c>
      <c r="E10" s="51" t="s">
        <v>190</v>
      </c>
      <c r="F10" s="52" t="s">
        <v>191</v>
      </c>
      <c r="G10" s="51" t="s">
        <v>192</v>
      </c>
    </row>
    <row r="11" spans="1:7" ht="48" x14ac:dyDescent="0.25">
      <c r="A11" s="47" t="s">
        <v>193</v>
      </c>
      <c r="B11" s="48" t="s">
        <v>194</v>
      </c>
      <c r="C11" s="48" t="s">
        <v>195</v>
      </c>
      <c r="D11" s="48" t="s">
        <v>196</v>
      </c>
      <c r="E11" s="48" t="s">
        <v>197</v>
      </c>
      <c r="F11" s="49" t="s">
        <v>198</v>
      </c>
      <c r="G11" s="48" t="s">
        <v>199</v>
      </c>
    </row>
    <row r="12" spans="1:7" ht="36" x14ac:dyDescent="0.25">
      <c r="A12" s="50" t="s">
        <v>200</v>
      </c>
      <c r="B12" s="51" t="s">
        <v>194</v>
      </c>
      <c r="C12" s="51" t="s">
        <v>201</v>
      </c>
      <c r="D12" s="51" t="s">
        <v>202</v>
      </c>
      <c r="E12" s="51" t="s">
        <v>203</v>
      </c>
      <c r="F12" s="52" t="s">
        <v>204</v>
      </c>
      <c r="G12" s="51" t="s">
        <v>205</v>
      </c>
    </row>
    <row r="13" spans="1:7" ht="36" x14ac:dyDescent="0.25">
      <c r="A13" s="47" t="s">
        <v>206</v>
      </c>
      <c r="B13" s="48" t="s">
        <v>207</v>
      </c>
      <c r="C13" s="48" t="s">
        <v>208</v>
      </c>
      <c r="D13" s="48" t="s">
        <v>209</v>
      </c>
      <c r="E13" s="48" t="s">
        <v>210</v>
      </c>
      <c r="F13" s="49" t="s">
        <v>211</v>
      </c>
      <c r="G13" s="48" t="s">
        <v>212</v>
      </c>
    </row>
    <row r="14" spans="1:7" ht="36" x14ac:dyDescent="0.25">
      <c r="A14" s="50" t="s">
        <v>213</v>
      </c>
      <c r="B14" s="51" t="s">
        <v>214</v>
      </c>
      <c r="C14" s="51" t="s">
        <v>215</v>
      </c>
      <c r="D14" s="51" t="s">
        <v>216</v>
      </c>
      <c r="E14" s="51" t="s">
        <v>217</v>
      </c>
      <c r="F14" s="52" t="s">
        <v>218</v>
      </c>
      <c r="G14" s="51" t="s">
        <v>219</v>
      </c>
    </row>
    <row r="15" spans="1:7" ht="36" x14ac:dyDescent="0.25">
      <c r="A15" s="47" t="s">
        <v>220</v>
      </c>
      <c r="B15" s="48" t="s">
        <v>221</v>
      </c>
      <c r="C15" s="48" t="s">
        <v>222</v>
      </c>
      <c r="D15" s="48" t="s">
        <v>223</v>
      </c>
      <c r="E15" s="48" t="s">
        <v>224</v>
      </c>
      <c r="F15" s="49" t="s">
        <v>225</v>
      </c>
      <c r="G15" s="48" t="s">
        <v>226</v>
      </c>
    </row>
    <row r="16" spans="1:7" ht="36" x14ac:dyDescent="0.25">
      <c r="A16" s="50" t="s">
        <v>227</v>
      </c>
      <c r="B16" s="51" t="s">
        <v>221</v>
      </c>
      <c r="C16" s="51" t="s">
        <v>228</v>
      </c>
      <c r="D16" s="51" t="s">
        <v>229</v>
      </c>
      <c r="E16" s="51" t="s">
        <v>230</v>
      </c>
      <c r="F16" s="52" t="s">
        <v>231</v>
      </c>
      <c r="G16" s="51" t="s">
        <v>232</v>
      </c>
    </row>
    <row r="17" spans="1:7" ht="36" x14ac:dyDescent="0.25">
      <c r="A17" s="47" t="s">
        <v>233</v>
      </c>
      <c r="B17" s="48" t="s">
        <v>221</v>
      </c>
      <c r="C17" s="48" t="s">
        <v>234</v>
      </c>
      <c r="D17" s="48" t="s">
        <v>229</v>
      </c>
      <c r="E17" s="48" t="s">
        <v>235</v>
      </c>
      <c r="F17" s="49" t="s">
        <v>236</v>
      </c>
      <c r="G17" s="48" t="s">
        <v>237</v>
      </c>
    </row>
    <row r="18" spans="1:7" ht="48" x14ac:dyDescent="0.25">
      <c r="A18" s="50" t="s">
        <v>238</v>
      </c>
      <c r="B18" s="51" t="s">
        <v>221</v>
      </c>
      <c r="C18" s="51" t="s">
        <v>239</v>
      </c>
      <c r="D18" s="51" t="s">
        <v>240</v>
      </c>
      <c r="E18" s="51" t="s">
        <v>241</v>
      </c>
      <c r="F18" s="52" t="s">
        <v>242</v>
      </c>
      <c r="G18" s="51" t="s">
        <v>243</v>
      </c>
    </row>
    <row r="19" spans="1:7" ht="48" x14ac:dyDescent="0.25">
      <c r="A19" s="47" t="s">
        <v>244</v>
      </c>
      <c r="B19" s="48" t="s">
        <v>221</v>
      </c>
      <c r="C19" s="48" t="s">
        <v>245</v>
      </c>
      <c r="D19" s="48" t="s">
        <v>240</v>
      </c>
      <c r="E19" s="48" t="s">
        <v>246</v>
      </c>
      <c r="F19" s="49" t="s">
        <v>247</v>
      </c>
      <c r="G19" s="48" t="s">
        <v>248</v>
      </c>
    </row>
    <row r="20" spans="1:7" ht="48" x14ac:dyDescent="0.25">
      <c r="A20" s="50" t="s">
        <v>249</v>
      </c>
      <c r="B20" s="51" t="s">
        <v>250</v>
      </c>
      <c r="C20" s="51" t="s">
        <v>251</v>
      </c>
      <c r="D20" s="51" t="s">
        <v>252</v>
      </c>
      <c r="E20" s="51" t="s">
        <v>253</v>
      </c>
      <c r="F20" s="52" t="s">
        <v>254</v>
      </c>
      <c r="G20" s="51" t="s">
        <v>255</v>
      </c>
    </row>
    <row r="21" spans="1:7" ht="24" x14ac:dyDescent="0.25">
      <c r="A21" s="47" t="s">
        <v>256</v>
      </c>
      <c r="B21" s="48" t="s">
        <v>257</v>
      </c>
      <c r="C21" s="48" t="s">
        <v>258</v>
      </c>
      <c r="D21" s="48" t="s">
        <v>259</v>
      </c>
      <c r="E21" s="48" t="s">
        <v>260</v>
      </c>
      <c r="F21" s="49" t="s">
        <v>261</v>
      </c>
      <c r="G21" s="48" t="s">
        <v>262</v>
      </c>
    </row>
    <row r="22" spans="1:7" ht="36" x14ac:dyDescent="0.25">
      <c r="A22" s="50" t="s">
        <v>263</v>
      </c>
      <c r="B22" s="51" t="s">
        <v>264</v>
      </c>
      <c r="C22" s="51" t="s">
        <v>265</v>
      </c>
      <c r="D22" s="51" t="s">
        <v>266</v>
      </c>
      <c r="E22" s="51" t="s">
        <v>267</v>
      </c>
      <c r="F22" s="52" t="s">
        <v>268</v>
      </c>
      <c r="G22" s="51" t="s">
        <v>269</v>
      </c>
    </row>
    <row r="23" spans="1:7" ht="24" x14ac:dyDescent="0.25">
      <c r="A23" s="47" t="s">
        <v>270</v>
      </c>
      <c r="B23" s="48" t="s">
        <v>221</v>
      </c>
      <c r="C23" s="48" t="s">
        <v>271</v>
      </c>
      <c r="D23" s="48" t="s">
        <v>272</v>
      </c>
      <c r="E23" s="48" t="s">
        <v>273</v>
      </c>
      <c r="F23" s="49" t="s">
        <v>274</v>
      </c>
      <c r="G23" s="48" t="s">
        <v>275</v>
      </c>
    </row>
    <row r="24" spans="1:7" ht="36" x14ac:dyDescent="0.25">
      <c r="A24" s="50" t="s">
        <v>276</v>
      </c>
      <c r="B24" s="51" t="s">
        <v>277</v>
      </c>
      <c r="C24" s="51" t="s">
        <v>278</v>
      </c>
      <c r="D24" s="51" t="s">
        <v>279</v>
      </c>
      <c r="E24" s="51" t="s">
        <v>280</v>
      </c>
      <c r="F24" s="52" t="s">
        <v>281</v>
      </c>
      <c r="G24" s="51" t="s">
        <v>282</v>
      </c>
    </row>
    <row r="25" spans="1:7" ht="24" x14ac:dyDescent="0.25">
      <c r="A25" s="47" t="s">
        <v>283</v>
      </c>
      <c r="B25" s="48" t="s">
        <v>284</v>
      </c>
      <c r="C25" s="48" t="s">
        <v>285</v>
      </c>
      <c r="D25" s="48" t="s">
        <v>286</v>
      </c>
      <c r="E25" s="48" t="s">
        <v>287</v>
      </c>
      <c r="F25" s="49" t="s">
        <v>288</v>
      </c>
      <c r="G25" s="48" t="s">
        <v>289</v>
      </c>
    </row>
    <row r="27" spans="1:7" x14ac:dyDescent="0.25">
      <c r="A27" s="53" t="s">
        <v>290</v>
      </c>
    </row>
    <row r="28" spans="1:7" x14ac:dyDescent="0.25">
      <c r="A28" s="25" t="str">
        <f>"Model (typ: "&amp;Kalkulator!C6&amp;", 500 uczniów, 1 automat): "&amp;TEXT(Tabela!C13,"0")&amp;"–"&amp;TEXT(Tabela!D13,"0")&amp;" zł netto/mies., stawka wyjściowa "&amp;TEXT(Tabela!E13,"0")&amp;" zł."</f>
        <v>Model (typ: Liceum ogólnokształcące, 500 uczniów, 1 automat): 180–560 zł netto/mies., stawka wyjściowa 370 zł.</v>
      </c>
    </row>
    <row r="29" spans="1:7" x14ac:dyDescent="0.25">
      <c r="A29" s="23" t="s">
        <v>291</v>
      </c>
    </row>
    <row r="31" spans="1:7" x14ac:dyDescent="0.25">
      <c r="A31" s="53" t="s">
        <v>292</v>
      </c>
    </row>
    <row r="32" spans="1:7" x14ac:dyDescent="0.25">
      <c r="A32" s="23" t="s">
        <v>293</v>
      </c>
    </row>
    <row r="33" spans="1:1" x14ac:dyDescent="0.25">
      <c r="A33" s="23" t="s">
        <v>294</v>
      </c>
    </row>
    <row r="34" spans="1:1" x14ac:dyDescent="0.25">
      <c r="A34" s="23" t="s">
        <v>295</v>
      </c>
    </row>
    <row r="35" spans="1:1" x14ac:dyDescent="0.25">
      <c r="A35" s="23" t="s">
        <v>296</v>
      </c>
    </row>
    <row r="36" spans="1:1" x14ac:dyDescent="0.25">
      <c r="A36" s="23" t="s">
        <v>297</v>
      </c>
    </row>
  </sheetData>
  <hyperlinks>
    <hyperlink ref="F5" r:id="rId1" xr:uid="{00000000-0004-0000-0300-000000000000}"/>
    <hyperlink ref="F6" r:id="rId2" xr:uid="{00000000-0004-0000-0300-000001000000}"/>
    <hyperlink ref="F7" r:id="rId3" xr:uid="{00000000-0004-0000-0300-000002000000}"/>
    <hyperlink ref="F8" r:id="rId4" xr:uid="{00000000-0004-0000-0300-000003000000}"/>
    <hyperlink ref="F9" r:id="rId5" xr:uid="{00000000-0004-0000-0300-000004000000}"/>
    <hyperlink ref="F10" r:id="rId6" xr:uid="{00000000-0004-0000-0300-000005000000}"/>
    <hyperlink ref="F11" r:id="rId7" xr:uid="{00000000-0004-0000-0300-000006000000}"/>
    <hyperlink ref="F12" r:id="rId8" xr:uid="{00000000-0004-0000-0300-000007000000}"/>
    <hyperlink ref="F13" r:id="rId9" xr:uid="{00000000-0004-0000-0300-000008000000}"/>
    <hyperlink ref="F14" r:id="rId10" xr:uid="{00000000-0004-0000-0300-000009000000}"/>
    <hyperlink ref="F15" r:id="rId11" xr:uid="{00000000-0004-0000-0300-00000A000000}"/>
    <hyperlink ref="F16" r:id="rId12" xr:uid="{00000000-0004-0000-0300-00000B000000}"/>
    <hyperlink ref="F17" r:id="rId13" xr:uid="{00000000-0004-0000-0300-00000C000000}"/>
    <hyperlink ref="F18" r:id="rId14" xr:uid="{00000000-0004-0000-0300-00000D000000}"/>
    <hyperlink ref="F19" r:id="rId15" xr:uid="{00000000-0004-0000-0300-00000E000000}"/>
    <hyperlink ref="F20" r:id="rId16" xr:uid="{00000000-0004-0000-0300-00000F000000}"/>
    <hyperlink ref="F21" r:id="rId17" xr:uid="{00000000-0004-0000-0300-000010000000}"/>
    <hyperlink ref="F22" r:id="rId18" xr:uid="{00000000-0004-0000-0300-000011000000}"/>
    <hyperlink ref="F23" r:id="rId19" xr:uid="{00000000-0004-0000-0300-000012000000}"/>
    <hyperlink ref="F24" r:id="rId20" xr:uid="{00000000-0004-0000-0300-000013000000}"/>
    <hyperlink ref="F25" r:id="rId21" xr:uid="{00000000-0004-0000-0300-00001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Kalkulator</vt:lpstr>
      <vt:lpstr>Założenia</vt:lpstr>
      <vt:lpstr>Tabela</vt:lpstr>
      <vt:lpstr>Źródła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Piotruch 88</cp:lastModifiedBy>
  <dcterms:created xsi:type="dcterms:W3CDTF">2026-10-29T09:03:28Z</dcterms:created>
  <dcterms:modified xsi:type="dcterms:W3CDTF">2026-10-29T09:03:36Z</dcterms:modified>
</cp:coreProperties>
</file>